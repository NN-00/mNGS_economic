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SYSU\AAA-Shilab\北大医mNGS课题\2025新\数据库\"/>
    </mc:Choice>
  </mc:AlternateContent>
  <xr:revisionPtr revIDLastSave="0" documentId="13_ncr:1_{FBCE2B68-AB7A-4773-A6C1-257D4BA99BA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3" r:id="rId2"/>
    <sheet name="Sheet3" sheetId="4" r:id="rId3"/>
  </sheets>
  <definedNames>
    <definedName name="_xlnm._FilterDatabase" localSheetId="0" hidden="1">Sheet1!$A$1:$AD$523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23" i="1" l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<sst xmlns="http://schemas.openxmlformats.org/spreadsheetml/2006/main" count="5528" uniqueCount="532">
  <si>
    <t>group</t>
  </si>
  <si>
    <t>patient_id</t>
  </si>
  <si>
    <t>age</t>
  </si>
  <si>
    <t>sex</t>
  </si>
  <si>
    <t>fever</t>
  </si>
  <si>
    <t>cough</t>
  </si>
  <si>
    <t>chest_pain</t>
  </si>
  <si>
    <t>hypertension</t>
  </si>
  <si>
    <t>hyperglycemia</t>
  </si>
  <si>
    <t>hyperlipidemia</t>
  </si>
  <si>
    <t>coronary_artery_disease</t>
  </si>
  <si>
    <t>COPD</t>
  </si>
  <si>
    <t>tumor</t>
  </si>
  <si>
    <t>admission_date</t>
  </si>
  <si>
    <t>discharge_date</t>
  </si>
  <si>
    <t>hospitalization_los</t>
  </si>
  <si>
    <t>ICU_admission_date</t>
  </si>
  <si>
    <t>ICU_discharge_date</t>
  </si>
  <si>
    <t>clinical_outcome</t>
  </si>
  <si>
    <t>total_cost</t>
  </si>
  <si>
    <t>insurance_type</t>
  </si>
  <si>
    <t>culture_sample_date</t>
  </si>
  <si>
    <t>Culture_result</t>
  </si>
  <si>
    <t>mngs_result</t>
  </si>
  <si>
    <t>culture_tat_hours</t>
  </si>
  <si>
    <t>mngs_tat_hours</t>
  </si>
  <si>
    <t>pathogens_culture</t>
  </si>
  <si>
    <t>pathogens_mngs</t>
  </si>
  <si>
    <t>infection_type</t>
  </si>
  <si>
    <t>admission_to_mngs_hours</t>
  </si>
  <si>
    <t>male</t>
  </si>
  <si>
    <t>NA</t>
  </si>
  <si>
    <t>discharged</t>
  </si>
  <si>
    <t>companies</t>
  </si>
  <si>
    <t>(-)</t>
  </si>
  <si>
    <t>-</t>
  </si>
  <si>
    <t>cross-provincial</t>
  </si>
  <si>
    <t>Stenotrophomonas_maltophilia|Klebsiella_pneumoniae|Streptococcus_pneumoniae</t>
  </si>
  <si>
    <t>female</t>
  </si>
  <si>
    <t>crash</t>
  </si>
  <si>
    <t>retirement</t>
  </si>
  <si>
    <t>Pseudomonas_aeruginosa</t>
  </si>
  <si>
    <t>Klebsiella_pneumoniae|Stenotrophomonas_maltophilia</t>
  </si>
  <si>
    <t>Aspergillus_flavus</t>
  </si>
  <si>
    <t>Klebsiella_pneumoniae</t>
  </si>
  <si>
    <t>Aspergillus_fumigatus</t>
  </si>
  <si>
    <t>Escherichia_coli</t>
  </si>
  <si>
    <t>Cryptococcus_neoformans</t>
  </si>
  <si>
    <t>Aspergillus_sydowii</t>
  </si>
  <si>
    <t>Pseudomonas_aeruginosa|Proteus_penneri</t>
  </si>
  <si>
    <t>Pseudomonas_aeruginosa|Klebsiella_pneumoniae</t>
  </si>
  <si>
    <t>labour_co-operation</t>
  </si>
  <si>
    <t>Klebsiella_aerogenes</t>
  </si>
  <si>
    <t>Staphylococcus_aureus</t>
  </si>
  <si>
    <t>Stenotrophomonas_maltophilia</t>
  </si>
  <si>
    <t>Haemophilus_influenzae</t>
  </si>
  <si>
    <t>Pseudomonas_stutzeri</t>
  </si>
  <si>
    <t>Corynebacterium_striatum</t>
  </si>
  <si>
    <t>Aspergillus_terreus</t>
  </si>
  <si>
    <t>Acinetobacter_baumannii</t>
  </si>
  <si>
    <t>Burkholderia_cepacia</t>
  </si>
  <si>
    <t>Streptococcus_pyogenes</t>
  </si>
  <si>
    <t>Candida_parapsilosis</t>
  </si>
  <si>
    <t>Aggregatibacter_segnis</t>
  </si>
  <si>
    <t>Klebsiella_oxytoca</t>
  </si>
  <si>
    <t>Streptococcus_pneumoniae</t>
  </si>
  <si>
    <t>Candida_parapsilosis|Candida_guilliermondii</t>
  </si>
  <si>
    <t>Acinetobacter_nosocomialis|Stenotrophomonas_maltophilia|Corynebacterium_striatum</t>
  </si>
  <si>
    <t>Pseudomonas_oryzihabitans</t>
  </si>
  <si>
    <t>self-paying</t>
  </si>
  <si>
    <t>2020-4-1-11</t>
  </si>
  <si>
    <t>Streptococcus pneumoniae</t>
  </si>
  <si>
    <t>2020-4-24-12</t>
  </si>
  <si>
    <t>Burkholderia.vietnamiensis|Burkholderia.ubonensis|Staphylococcus.hominis|Bradyrhizobium.elkanii|Micrococcus.luteus|Malassezia.restricta</t>
  </si>
  <si>
    <t>2020.5.5.5:30</t>
  </si>
  <si>
    <t>transfer</t>
  </si>
  <si>
    <t>2020-4-25-16</t>
  </si>
  <si>
    <t>Acinetobacter.baumannii</t>
  </si>
  <si>
    <t>Acinetobacter.baumannii|Acinetobacter.pittii|Stenotrophomonas.maltophilia|Aspergillus.rambellii</t>
  </si>
  <si>
    <t>2020-6-16-11</t>
  </si>
  <si>
    <t>Burkholderia.vietnamiensis|Tropheryma.whipplei</t>
  </si>
  <si>
    <t>2020-7-16-11</t>
  </si>
  <si>
    <t>Burkholderia.vietnamiensis|Burkholderia.ubonensis|Malassezia.restricta|Neisseria.gonorrhoeae|Streptococcus.pneumoniae|Haemophilus.sputorum|Haemophilus.haemolyticus|Fusobacterium.hwasookii|Human.papillomavirus.type.36</t>
  </si>
  <si>
    <t>2020-7-22-14</t>
  </si>
  <si>
    <t>Chryseobacterium.indologenes</t>
  </si>
  <si>
    <t>2020-8-6-10</t>
  </si>
  <si>
    <t>Parvimonas.micra|Streptococcus.constellatus|Burkholderia.vietnamiensis|Malassezia.restricta|Streptococcus.pneumoniae|Haemophilus.sputorum|Fusobacterium.hwasookii|Haemophilus.quentini|Burkholderia.multivorans</t>
  </si>
  <si>
    <t>2020-7-19-14</t>
  </si>
  <si>
    <t>2020-8-19-14</t>
  </si>
  <si>
    <t>2020-8-12-16</t>
  </si>
  <si>
    <t>Acinetobacter.baumannii|Acinetobacter.pittii|Stenotrophomonas.maltophilia|Enterococcus.faecalis|Anaerolinea.thermophila|Candida.albicans|Trichosporon.asahii</t>
  </si>
  <si>
    <t>2020-8-24-11</t>
  </si>
  <si>
    <t>Staphylococcus.hominis|Acinetobacter.baumannii|Methylobacterium.radiotolerans</t>
  </si>
  <si>
    <t>2020-8-24-12</t>
  </si>
  <si>
    <t>Candida.albicans</t>
  </si>
  <si>
    <t>Streptococcus.pneumoniae|Actinomyces.dentalis|Actinomyces.israelii|Xylanimonas.cellulosilytica|Methanobrevibacter.oralis|Isoptericola.variabilis</t>
  </si>
  <si>
    <t>2020-8-31-11</t>
  </si>
  <si>
    <t>Sphingobium.xenophagum|Desulfocarbo.indianensis</t>
  </si>
  <si>
    <t>2020-9-1-11</t>
  </si>
  <si>
    <t>Aggregatibacter.segnis|Streptococcus pneumoniae</t>
  </si>
  <si>
    <t>Staphylococcus.hominis|Malassezia.restricta|Actinomyces.israelii|Isoptericola.variabilis|Actinomyces.gerencseriae|Caballeronia.sordidicola|Methylorubrum.extorquens|Methylorubrum.populi</t>
  </si>
  <si>
    <t>2020-9-8-11</t>
  </si>
  <si>
    <t>Pseudomonas.aeruginosa</t>
  </si>
  <si>
    <t>Staphylococcus.hominis|Micrococcus.luteus|Malassezia.restricta|Pseudomonas.aeruginosa|Pseudomonas.denitrificans</t>
  </si>
  <si>
    <t>2020-9-11-11</t>
  </si>
  <si>
    <t>Streptococcus.constellatus|Staphylococcus.hominis|Malassezia.restricta|Candida.albicans|Actinomyces.israelii|Neisseria.meningitidis|Streptococcus.orisratti|Staphylococcus.lugdunensis|Capnocytophaga.haemolytica|Actinomyces.naeslundii|Penicillium.citrinum</t>
  </si>
  <si>
    <t>2020-9-14-11</t>
  </si>
  <si>
    <t>Pseudomonas.aeruginosa|Pseudomonas.denitrificans|Bordetella.parapertussis</t>
  </si>
  <si>
    <t>2020-9-16-14</t>
  </si>
  <si>
    <t>Malassezia.restricta|Aspergillus.rambellii</t>
  </si>
  <si>
    <t>2020-9-21-11</t>
  </si>
  <si>
    <t>Chryseobacterium.haifense|Pelagibacterium.luteolum|Olsenella.uli</t>
  </si>
  <si>
    <t>2020-9-23-10</t>
  </si>
  <si>
    <t>Malassezia.restricta|Haemophilus.sputorum|Haemophilus.haemolyticus|Fusobacterium.hwasookii|Actinomyces.dentalis|Actinomyces.israelii|Neisseria.meningitidis|Treponema.pedis|Treponema.succinifaciens|Fusobacterium.necrophorum|Cladosporium.sphaerospermum</t>
  </si>
  <si>
    <t>2020-9-29-15</t>
  </si>
  <si>
    <t>Malassezia.restricta|Chryseobacterium.haifense|Acinetobacter.johnsonii|Acinetobacter.lwoffii</t>
  </si>
  <si>
    <t>2020-10-6-10</t>
  </si>
  <si>
    <t>Dialister.pneumosintes|Malassezia.restricta|Streptococcus.pneumoniae|Actinomyces.dentalis|Actinomyces.gerencseriae|Streptococcus.orisratti|Oribacterium.parvum|Peptoniphilus.rhinitidis</t>
  </si>
  <si>
    <t>2020-10-6-11</t>
  </si>
  <si>
    <t>Mycobacterium.avium|Staphylococcus.pettenkoferi</t>
  </si>
  <si>
    <t>2020-10-12-11</t>
  </si>
  <si>
    <t>Parvimonas.micra|Streptococcus.constellatus|Fusobacterium.hwasookii|Methylobacterium.radiotolerans|Fusobacterium.necrophorum|Bacteroides.pyogenes|Bacteroides.uniformis</t>
  </si>
  <si>
    <t>2020-10-15-10</t>
  </si>
  <si>
    <t>Staphylococcus.pettenkoferi</t>
  </si>
  <si>
    <t>2020-10-15-11</t>
  </si>
  <si>
    <t>Aspergillus.rambellii|Chlamydia.psittaci</t>
  </si>
  <si>
    <t>2020-10-27-10</t>
  </si>
  <si>
    <t>Staphylococcus.hominis|Malassezia.restricta|Streptococcus.pneumoniae|Actinomyces.dentalis|Actinomyces.naeslundii|Bacteroides.vulgatus|Bacteroides.massiliensis|Roseburia.intestinalis|Roseburia.faecis|Pyrrhoderma.noxium</t>
  </si>
  <si>
    <t>2020-11-4-10</t>
  </si>
  <si>
    <t>Parvimonas.micra|Dialister.pneumosintes|Mogibacterium.timidum|Malassezia.restricta|Oribacterium.parvum|Scardovia.wiggsiae|Dialister.invisus</t>
  </si>
  <si>
    <t>2020-11-6-11</t>
  </si>
  <si>
    <t>Achromobacter.xylosoxidans|Achromobacter.denitrificans|Thauera.aminoaromatica</t>
  </si>
  <si>
    <t>2020-11-13-10</t>
  </si>
  <si>
    <t>Malassezia.restricta|Streptococcus.pneumoniae|Chryseobacterium.indologenes|Actinomyces.dentalis|Actinomyces.israelii|Cladosporium.sphaerospermum|Acinetobacter.johnsonii</t>
  </si>
  <si>
    <t>2020-11-13-9</t>
  </si>
  <si>
    <t>2020-11-18-14</t>
  </si>
  <si>
    <t>Staphylococcus.hominis|Malassezia.restricta|Chryseobacterium.indologenes|Methylobacterium.radiotolerans|Acinetobacter.johnsonii|Dyella.jiangningensis|Pneumocystis.jirovecii</t>
  </si>
  <si>
    <t>2020-11-20-11</t>
  </si>
  <si>
    <t>Parvimonas.micra|Malassezia.restricta|Fusobacterium.hwasookii|Chryseobacterium.indologenes|Pyramidobacter.piscolens|Bilophila.wadsworthia</t>
  </si>
  <si>
    <t>2020-11-23-11</t>
  </si>
  <si>
    <t>Malassezia.restricta|Methanobrevibacter.oralis|Chryseobacterium.haifense|Peptoniphilus.rhinitidis|Proteus.mirabilis</t>
  </si>
  <si>
    <t>2020-11-25-14</t>
  </si>
  <si>
    <t>Malassezia.restricta|Scardovia.wiggsiae|Abiotrophia.defectiva|Cryptobacterium.curtum|Acidaminococcus.intestini|Anaeroglobus.geminatus|Mycoplasma.hominis</t>
  </si>
  <si>
    <t>died</t>
  </si>
  <si>
    <t>2020-11-26-11</t>
  </si>
  <si>
    <t>Escherichia.coli|Pseudomonas.aeruginosa</t>
  </si>
  <si>
    <t>Haemophilus.sputorum|Haemophilus.haemolyticus|Chryseobacterium.indologenes|Pseudomonas.aeruginosa|Chryseobacterium.haifense|Elizabethkingia.anophelis|Elizabethkingia.miricola|Escherichia.coli</t>
  </si>
  <si>
    <t>2020.12.25.09:58</t>
  </si>
  <si>
    <t>2021.1.3.14:35</t>
  </si>
  <si>
    <t>2020-12-4-11</t>
  </si>
  <si>
    <t>2020-12-7-17</t>
  </si>
  <si>
    <t>Staphylococcus.hominis|Malassezia.restricta|Chryseobacterium.indologenes|Chryseobacterium.haifense|Acinetobacter.johnsonii|Acinetobacter.ursingii|Staphylococcus.capitis|Xanthomonas.fragariae|Xanthomonas.campestris</t>
  </si>
  <si>
    <t>2020-12-8-11</t>
  </si>
  <si>
    <t>Staphylococcus.hominis|Chryseobacterium.haifense|Acinetobacter.johnsonii|Lachnospiraceae.bacterium.oral.taxon.082</t>
  </si>
  <si>
    <t>2020-12-8-15</t>
  </si>
  <si>
    <t>Parvimonas.micra|Malassezia.restricta|Oribacterium.parvum|Scardovia.wiggsiae|Dialister.invisus|Pyramidobacter.piscolens</t>
  </si>
  <si>
    <t>2020-12-14-16</t>
  </si>
  <si>
    <t>Haemophilus.influenzae</t>
  </si>
  <si>
    <t>2020-12-16-7</t>
  </si>
  <si>
    <t>Staphylococcus.hominis|Malassezia.restricta|Chryseobacterium.indologenes|Abiotrophia.defectiva|Xanthomonas.campestris|Leuconostoc.lactis</t>
  </si>
  <si>
    <t>2020-12-18-14</t>
  </si>
  <si>
    <t>Candida.albicans|Aspergillus</t>
  </si>
  <si>
    <t>Streptococcus.pneumoniae|Actinomyces.naeslundii</t>
  </si>
  <si>
    <t>2021-1-4-12</t>
  </si>
  <si>
    <t>Mycobacterium.tuberculosis</t>
  </si>
  <si>
    <t>2021-1-5-11</t>
  </si>
  <si>
    <t>2021-1-11-14</t>
  </si>
  <si>
    <t>Parvimonas.micra|Streptococcus.constellatus|Mogibacterium.timidum|Streptococcus.pneumoniae|Actinomyces.dentalis|Actinomyces.israelii|Dialister.invisus</t>
  </si>
  <si>
    <t>2021-1-12-9</t>
  </si>
  <si>
    <t>Moraxella.catarrhalis</t>
  </si>
  <si>
    <t>2021-1-13-10</t>
  </si>
  <si>
    <t>Malassezia.restricta|Streptococcus.pneumoniae|Haemophilus.sputorum|Candida.albicans|Actinomyces.dentalis|Actinomyces.israelii|Pneumocystis.jirovecii|Haemophilus.parahaemolyticus|Streptococcus.suis|Gemella.asaccharolytica|Sneathia.amnii|Sneathia.sanguinegens|Hirsutella.thompsonii</t>
  </si>
  <si>
    <t>2021-3-31-17</t>
  </si>
  <si>
    <t>Malassezia.restricta|Streptococcus.pneumoniae|Actinomyces.israelii|Cladosporium.sphaerospermum|Acinetobacter.johnsonii|Acinetobacter.lwoffii|X.Propionibacterium..namnetense|Actinomyces.johnsonii|Kocuria.palustris|Kocuria.indica|Schizophyllum.commune|Aspergillus.ruber|Irpex.lacteus</t>
  </si>
  <si>
    <t>2021-1-27-12</t>
  </si>
  <si>
    <t>Streptococcus.constellatus|Malassezia.restricta|Streptococcus.pneumoniae|Haemophilus.sputorum|Actinomyces.gerencseriae|Neisseria.meningitidis|Capnocytophaga.haemolytica|Actinomyces.naeslundii|Haemophilus.parahaemolyticus</t>
  </si>
  <si>
    <t>2021-1-28-10</t>
  </si>
  <si>
    <t>Streptococcus.pneumoniae</t>
  </si>
  <si>
    <t>2021-2-4-16</t>
  </si>
  <si>
    <t>2021-2-10-9</t>
  </si>
  <si>
    <t>Malassezia.restricta|Staphylococcus.aureus</t>
  </si>
  <si>
    <t>2021-2-26-10</t>
  </si>
  <si>
    <t>Haemophilus.sputorum|Haemophilus.haemolyticus|Fusobacterium.hwasookii|Dialister.invisus|Actinomyces.massiliensis</t>
  </si>
  <si>
    <t>2021-3-1-10</t>
  </si>
  <si>
    <t>Parvimonas.micra|Bulleidia.extructa|Mogibacterium.timidum|Desulfocarbo.indianensis|Abiotrophia.defectiva</t>
  </si>
  <si>
    <t>2021-3-10-11</t>
  </si>
  <si>
    <t>Malassezia.restricta|X.Eubacterium..nodatum</t>
  </si>
  <si>
    <t>2021-3-17-10</t>
  </si>
  <si>
    <t>2021-3-19-10</t>
  </si>
  <si>
    <t>Streptococcus.constellatus|Malassezia.restricta|Streptococcus.pneumoniae|Olsenella.uli|Acinetobacter.johnsonii|Acinetobacter.junii|Pseudomonas.stutzeri|Paracoccus.sphaerophysae</t>
  </si>
  <si>
    <t>2021-4-21-11</t>
  </si>
  <si>
    <t>Mycobacterium.tuberculosis|Stenotrophomonas.maltophilia|Candida.albicans</t>
  </si>
  <si>
    <t>Desulfocarbo.indianensis|Haemophilus.influenzae|Haemophilus.aegyptius|Pseudomonas.sp..TKP</t>
  </si>
  <si>
    <t>2021-4-25-12</t>
  </si>
  <si>
    <t>Pseudomonas.aeruginosa|Aspergillus.fumigatus</t>
  </si>
  <si>
    <t>Pseudomonas.aeruginosa|Pseudomonas.denitrificans</t>
  </si>
  <si>
    <t>2021-5-8-10</t>
  </si>
  <si>
    <t>Candida.metapsilosis</t>
  </si>
  <si>
    <t>Desulfocarbo.indianensis</t>
  </si>
  <si>
    <t>2021-5-8-11</t>
  </si>
  <si>
    <t>Malassezia.restricta|Stenotrophomonas.maltophilia|Acinetobacter.johnsonii|X.Propionibacterium..namnetense|Acinetobacter.guillouiae|Pseudomonas.balearica|Pseudomonas.formosensis|Cupriavidus.metallidurans|Aspergillus.sydowii|Meyerozyma.guilliermondii</t>
  </si>
  <si>
    <t>2021-6-2-11</t>
  </si>
  <si>
    <t>Acinetobacter.guillouiae|X.Eubacterium..sulci</t>
  </si>
  <si>
    <t>2021-6-3-12</t>
  </si>
  <si>
    <t>Neisseria.meningitidis|Chryseobacterium.haifense|Acinetobacter.johnsonii|Haemophilus.aegyptius|Acinetobacter.guillouiae|Pseudomonas.formosensis</t>
  </si>
  <si>
    <t>2021-6-10-10</t>
  </si>
  <si>
    <t>Staphylococcus.aureus</t>
  </si>
  <si>
    <t>Malassezia.restricta|Aspergillus.fumigatus</t>
  </si>
  <si>
    <t>2021-6-28-10</t>
  </si>
  <si>
    <t>Methylorubrum.extorquens|Pseudomonas.aeruginosa|Pseudomonas.denitrificans</t>
  </si>
  <si>
    <t>2021-7-14-12</t>
  </si>
  <si>
    <t>Malassezia.restricta|Streptococcus.pneumoniae|Haemophilus.influenzae|Neisseria.polysaccharea|Bacteroides.finegoldii|Bacteroides.thetaiotaomicron|Odoribacter.splanchnicus</t>
  </si>
  <si>
    <t>2021-7-26-9</t>
  </si>
  <si>
    <t>Acinetobacter.johnsonii|Acinetobacter.junii|Streptococcus.agalactiae|Brevundimonas.vesicularis|Neomicrococcus.aestuarii|Janibacter.hoylei|Malassezia.globosa</t>
  </si>
  <si>
    <t>2021-7-26-11</t>
  </si>
  <si>
    <t>Malassezia.restricta|Neisseria.gonorrhoeae|Streptococcus.pneumoniae|Penicillium.citrinum|Haemophilus.influenzae|Streptococcus.suis|Gemella.asaccharolytica|Haemophilus.aegyptius|Neisseria.polysaccharea|Fusobacterium.equinum|Fusobacterium.russii</t>
  </si>
  <si>
    <t>2021-8-6-11</t>
  </si>
  <si>
    <t>Pseudoramibacter.alactolyticus|Solibacillus.silvestris</t>
  </si>
  <si>
    <t>2021-8-19-10</t>
  </si>
  <si>
    <t>2021-8-20-11</t>
  </si>
  <si>
    <t>Tissierella.praeacuta|Acinetobacter.indicus</t>
  </si>
  <si>
    <t>2021-8-24-11</t>
  </si>
  <si>
    <t>Streptococcus.constellatus|Malassezia.restricta|X.Eubacterium..nodatum|Acinetobacter.guillouiae|Aspergillus.sydowii|Tissierella.praeacuta</t>
  </si>
  <si>
    <t>2021-8-27-14</t>
  </si>
  <si>
    <t>Malassezia.restricta|X.Eubacterium..nodatum|Bordetella.bronchiseptica|Bordetella.pertussis|Novosphingobium.resinovorum</t>
  </si>
  <si>
    <t>2021-8-27-10</t>
  </si>
  <si>
    <t>Malassezia.restricta|Chryseobacterium.haifense|Aspergillus.sydowii</t>
  </si>
  <si>
    <t>2021-9-15-16</t>
  </si>
  <si>
    <t>2021-9-14-10</t>
  </si>
  <si>
    <t>Streptococcus.pneumoniae|Candida.albicans|Malassezia.globosa</t>
  </si>
  <si>
    <t>2021-9-26-15</t>
  </si>
  <si>
    <t>Olsenella.uli|Acinetobacter.johnsonii|X.Eubacterium..nodatum|X.Eubacterium..sulci</t>
  </si>
  <si>
    <t>2021-9-26-16</t>
  </si>
  <si>
    <t>Tropheryma.whipplei|Chryseobacterium.haifense|Acinetobacter.johnsonii|Bacillus.thermoamylovorans|Comamonas.kerstersii</t>
  </si>
  <si>
    <t>2021-9-29-15</t>
  </si>
  <si>
    <t>Mycobacteroides.abscessus</t>
  </si>
  <si>
    <t>Mycobacteroides.abscessus|Mycobacteroides.immunogenum</t>
  </si>
  <si>
    <t>2021-10-6-11</t>
  </si>
  <si>
    <t>Malassezia.restricta|X.Eubacterium..sulci|Exophiala.spinifera</t>
  </si>
  <si>
    <t>2021-10-9-16</t>
  </si>
  <si>
    <t>Streptococcus.constellatus|Streptococcus.pneumoniae|Haemophilus.influenzae|Moraxella.catarrhalis|Staphylococcus.aureus|X.Eubacterium..yurii</t>
  </si>
  <si>
    <t>2021-10-13-11</t>
  </si>
  <si>
    <t>Acinetobacter.guillouiae|Odoribacter.splanchnicus</t>
  </si>
  <si>
    <t>2021-10-20-15</t>
  </si>
  <si>
    <t>Neisseria.meningitidis|Staphylococcus.aureus|Olsenella.scatoligenes|Klebsiella.pneumoniae|Hallella.seregens</t>
  </si>
  <si>
    <t>2021-11-17-11</t>
  </si>
  <si>
    <t>Aspergillus.sydowii</t>
  </si>
  <si>
    <t>Penicillium.citrinum|Chryseobacterium.haifense|Pseudomonas.stutzeri|Aspergillus.sydowii|Acinetobacter.parvus|Paracoccus.salipaludis|Mycolicibacterium.iranicum|WU.Polyomavirus|Saccharomyces.cerevisiae|Aureobasidium.melanogenum|Candida.sake|Mycoplasma.pneumoniae</t>
  </si>
  <si>
    <t>2021-11-17-10</t>
  </si>
  <si>
    <t>Candida.albicans|Chryseobacterium.haifense|Bilophila.wadsworthia|Pseudomonas.stutzeri|Aureobasidium.melanogenum|Bacillus.hisashii|Pseudosporangium.ferrugineum|Aspergillus.versicolor|Cutaneotrichosporon.curvatum</t>
  </si>
  <si>
    <t>2021-12-2-11</t>
  </si>
  <si>
    <t>Chryseobacterium.haifense|Aspergillus.ruber|Acinetobacter.indicus|WU.Polyomavirus|Saccharomyces.cerevisiae|Aureobasidium.melanogenum|Pseudomonas.fluvialis|Shewanella.baltica|Mycobacterium.paragordonae|Trichoderma.citrinoviride|Mycosphaerella.populi</t>
  </si>
  <si>
    <t>2021-12-8-12</t>
  </si>
  <si>
    <t>Acidaminococcus.intestini|Pantoea.septica|Fusobacterium.varium|Enterocloster.clostridioformis|Rhodococcus.qingshengii</t>
  </si>
  <si>
    <t>2021-12-10-11</t>
  </si>
  <si>
    <t>Acinetobacter.baumannii|Aspergillus.sydowii|Rhodococcus.qingshengii|Pseudomonas.extremorientalis|Serratia.grimesii|Bacteroides.eggerthii|Yarrowia.galli|Malassezia.obtusa|Ciborinia.camelliae</t>
  </si>
  <si>
    <t>2021-12-23-10</t>
  </si>
  <si>
    <t>Schizophyllum.commune|Acinetobacter.junii|Rhodococcus.qingshengii|Pseudomonas.extremorientalis|Alcaligenes.faecalis|Pandoraea.norimbergensis</t>
  </si>
  <si>
    <t>2021-12-23-12</t>
  </si>
  <si>
    <t>Staphylococcus.aureus|Acinetobacter.junii|Pantoea.septica|Rhodococcus.qingshengii|Pseudomonas.extremorientalis|Alternaria.alternata</t>
  </si>
  <si>
    <t>2021-12-27-11</t>
  </si>
  <si>
    <t>Pseudomonas.stutzeri|Mycobacterium.tuberculosis|Pantoea.septica|Penicillium.digitatum</t>
  </si>
  <si>
    <t>2021-12-31-10</t>
  </si>
  <si>
    <t>Staphylococcus.aureus|Acinetobacter.junii|Aspergillus.sydowii|Rhodococcus.qingshengii|Pseudomonas.extremorientalis|Microbacterium.lacticum|Hortaea.werneckii|Penicillium.paneum|Candida.parapsilosis</t>
  </si>
  <si>
    <t>2022-1-4-15</t>
  </si>
  <si>
    <t>Candida.albicans|Pantoea.septica|Rhodococcus.qingshengii|Pseudomonas.extremorientalis|Bacteroides.eggerthii|Peptoniphilus.lacydonensis|Bullera.alba</t>
  </si>
  <si>
    <t>2022-1-6-14</t>
  </si>
  <si>
    <t>Aspergillus.versicolor|Pantoea.septica|Rhodococcus.qingshengii|Pseudomonas.extremorientalis|Serratia.grimesii|Alcaligenes.faecalis|Bullera.alba</t>
  </si>
  <si>
    <t>2022-1-10-15</t>
  </si>
  <si>
    <t>Aspergillus.sydowii|Acinetobacter.indicus|Aureobasidium.melanogenum|Rhodococcus.qingshengii|Pseudomonas.extremorientalis|Microbacterium.lacticum|Bullera.alba|X.Clostridium..symbiosum|Exophiala.aquamarina</t>
  </si>
  <si>
    <t>2022-1-12-15</t>
  </si>
  <si>
    <t>Aspergillus.fumigatus</t>
  </si>
  <si>
    <t>Pneumocystis.jirovecii|Sneathia.sanguinegens|Aspergillus.fumigatus|Rhodococcus.qingshengii|Pseudoleptotrichia.goodfellowii|Morococcus.cerebrosus|Peptoniphilus.asaccharolyticus|Byssochlamys.spectabilis</t>
  </si>
  <si>
    <t>2022-1-10-10</t>
  </si>
  <si>
    <t>Aspergillus.sydowii|Olsenella.scatoligenes|Rhodococcus.qingshengii|Pseudomonas.extremorientalis|Pseudoleptotrichia.goodfellowii|Morococcus.cerebrosus|Periglandula.ipomoeae|Ureaplasma.diversum</t>
  </si>
  <si>
    <t>2022-1-14-11</t>
  </si>
  <si>
    <t>Aspergillus.sydowii|Pantoea.septica|Rhodococcus.qingshengii|Pseudomonas.extremorientalis|Alcaligenes.faecalis|Beauveria.bassiana|Bullera.alba|Acinetobacter.oleivorans|Talaromyces.islandicus</t>
  </si>
  <si>
    <t>2022-1-19-11</t>
  </si>
  <si>
    <t>Rhodococcus.qingshengii|Pseudomonas.extremorientalis|Cupriavidus.basilensis|Pandoraea.norimbergensis|Bullera.alba|Chryseobacterium.hominis</t>
  </si>
  <si>
    <t>2022-1-28-12</t>
  </si>
  <si>
    <t>Penicillium.citrinum|Acinetobacter.junii|Pseudomonas.stutzeri|Rhodococcus.qingshengii|Alcaligenes.faecalis|X.Clostridium..symbiosum|Cladosporium.cladosporioides</t>
  </si>
  <si>
    <t>2022-1-30-10</t>
  </si>
  <si>
    <t>Acinetobacter.baumannii|Schizophyllum.commune|Aspergillus.sydowii|Rhodococcus.qingshengii|Pseudomonas.extremorientalis|Alcaligenes.faecalis|Microbacterium.paraoxydans|Trichoderma.koningii|Yarrowia.lipolytica</t>
  </si>
  <si>
    <t>2022-2-9-15</t>
  </si>
  <si>
    <t>Acinetobacter.baumannii|Schizophyllum.commune|Pseudomonas.stutzeri|Aspergillus.sydowii|Rhodococcus.qingshengii|Candida.parapsilosis|Chryseobacterium.hominis|Atopobium.vaginae</t>
  </si>
  <si>
    <t>2022-2-10-13</t>
  </si>
  <si>
    <t>Pantoea.septica|Penicillium.digitatum</t>
  </si>
  <si>
    <t>2022-2-11-13</t>
  </si>
  <si>
    <t>Acinetobacter.junii|Aspergillus.sydowii|Pantoea.septica|Rhodococcus.qingshengii|Pseudomonas.extremorientalis|Alcaligenes.faecalis|Penicillium.digitatum</t>
  </si>
  <si>
    <t>2022-2-15-10</t>
  </si>
  <si>
    <t>Candida.albicans|Pneumocystis.jirovecii|Pseudomonas.fluvialis|Rhodococcus.qingshengii|Penicillium.digitatum|Paracoccus.versutus|Paenibacillus.massiliensis|Bacteroides.graminisolvens</t>
  </si>
  <si>
    <t>2022-2-21-11</t>
  </si>
  <si>
    <t>Pneumocystis.jirovecii|Pseudomonas.fluvialis|Rhodococcus.qingshengii|Hortaea.werneckii|Paracoccus.solventivorans|Alishewanella.agri|Ochrobactrum.intermedium</t>
  </si>
  <si>
    <t>2022-3-23-17</t>
  </si>
  <si>
    <t>Streptococcus.constellatus</t>
  </si>
  <si>
    <t>2022-4-6-16</t>
  </si>
  <si>
    <t>Pichia.kudriavzevii</t>
  </si>
  <si>
    <t>2022-4-12-10</t>
  </si>
  <si>
    <t>2022-4-12-16</t>
  </si>
  <si>
    <t>Human.papillomavirus.type.8</t>
  </si>
  <si>
    <t>2022-4-18-11</t>
  </si>
  <si>
    <t>Acinetobacter.junii|Cyphellophora.europaea</t>
  </si>
  <si>
    <t>2022-4-24-15</t>
  </si>
  <si>
    <t>Candida.tropicalis</t>
  </si>
  <si>
    <t>2022-4-27-14</t>
  </si>
  <si>
    <t>Haemophilus.influenzae|Penicillium.paxilli</t>
  </si>
  <si>
    <t>2022-4-28-11</t>
  </si>
  <si>
    <t>Haemophilus.influenzae|Klebsiella.pneumoniae|Exophiala.aquamarina</t>
  </si>
  <si>
    <t>2022-5-9-10</t>
  </si>
  <si>
    <t>Klebsiella.pneumoniae|Candida.albicans</t>
  </si>
  <si>
    <t>Candida.albicans|Klebsiella.pneumoniae</t>
  </si>
  <si>
    <t>2022-5-9-16</t>
  </si>
  <si>
    <t>Mycobacterium.tuberculosis|Candida.sake</t>
  </si>
  <si>
    <t>2022-5-11-12</t>
  </si>
  <si>
    <t>2022-5-11-10</t>
  </si>
  <si>
    <t>Penicillium.decumbens</t>
  </si>
  <si>
    <t>2022-5-13-10</t>
  </si>
  <si>
    <t>2022-5-19-16</t>
  </si>
  <si>
    <t>2022-5-26-11</t>
  </si>
  <si>
    <t>2022-5-26-16</t>
  </si>
  <si>
    <t>Candida.albicans|Pseudomonas.aeruginosa</t>
  </si>
  <si>
    <t>2022-6-13-15</t>
  </si>
  <si>
    <t>2022-6-20-9</t>
  </si>
  <si>
    <t>Pseudomonas.stutzeri</t>
  </si>
  <si>
    <t>2022-6-24-12</t>
  </si>
  <si>
    <t>Mycobacterium.tuberculosis|Candida.metapsilosis</t>
  </si>
  <si>
    <t>Neisseria.meningitidis|Haemophilus.influenzae|Necropsobacter.massiliensis|Candida.metapsilosis|Trichoderma.atrobrunneum</t>
  </si>
  <si>
    <t>2022-6-30-11</t>
  </si>
  <si>
    <t>Cyberlindnera.fabianii</t>
  </si>
  <si>
    <t>2022-7-4-11</t>
  </si>
  <si>
    <t>2022-7-6-13</t>
  </si>
  <si>
    <t>2022-7-15-16</t>
  </si>
  <si>
    <t>Pyrrhoderma.noxium|Grammothele.lineata</t>
  </si>
  <si>
    <t>2022-7-18-10</t>
  </si>
  <si>
    <t>2022-7-19-14</t>
  </si>
  <si>
    <t>Mycobacterium.tuberculosis|Aureobasidium.melanogenum|Acinetobacter.nosocomialis|Human.papillomavirus.22</t>
  </si>
  <si>
    <t>2022-7-19-11</t>
  </si>
  <si>
    <t>Acinetobacter.gyllenbergii|Naganishia.albida</t>
  </si>
  <si>
    <t>2022-8-2-11</t>
  </si>
  <si>
    <t>Klebsiella.pneumoniae</t>
  </si>
  <si>
    <t>2022-8-22-16</t>
  </si>
  <si>
    <t>Candida.metapsilosis|Ewingella.americana|Elizabethkingia.bruuniana|Diplonema.papillatum</t>
  </si>
  <si>
    <t>2022-8-24-10</t>
  </si>
  <si>
    <t>Candida.albicans|Elizabethkingia.bruuniana</t>
  </si>
  <si>
    <t>2022-8-30-11</t>
  </si>
  <si>
    <t>Serratia.grimesii|Ewingella.americana|Elizabethkingia.bruuniana|Diplonema.papillatum|Stenotrophomonas.bentonitica|Citrobacter.braakii</t>
  </si>
  <si>
    <t>2022-8-29-16</t>
  </si>
  <si>
    <t>Aspergillus.flavus</t>
  </si>
  <si>
    <t>Serratia.grimesii|Ewingella.americana|Elizabethkingia.bruuniana|Citrobacter.braakii</t>
  </si>
  <si>
    <t>2022-9-5-11</t>
  </si>
  <si>
    <t>Pseudomonas.aeruginosa|Serratia.marcescens</t>
  </si>
  <si>
    <t>Pseudomonas.aeruginosa|Elizabethkingia.bruuniana</t>
  </si>
  <si>
    <t>2022-9-5-15</t>
  </si>
  <si>
    <t>Stenotrophomonas.maltophilia|Serratia.grimesii|Ewingella.americana|Elizabethkingia.bruuniana|Rhodotorula.mucilaginosa</t>
  </si>
  <si>
    <t>2022-9-7-15</t>
  </si>
  <si>
    <t>Mycobacterium.tuberculosis|Elizabethkingia.bruuniana|Diplonema.papillatum</t>
  </si>
  <si>
    <t>2022-9-9-16</t>
  </si>
  <si>
    <t>Acinetobacter.baumannii|Rickettsia.felis|Stenotrophomonas.bentonitica|Enterococcus.faecium</t>
  </si>
  <si>
    <t>Achromobacter.xylosoxidans</t>
  </si>
  <si>
    <t>Achromobacter.xylosoxidans|Rickettsia.felis|Diplonema.papillatum|Stenotrophomonas.bentonitica|Bordetella.petrii|Citrobacter.portucalensis</t>
  </si>
  <si>
    <t>2022-9-13-16</t>
  </si>
  <si>
    <t>Candida.albicans|Mycobacterium.paraintracellulare|Aspergillus.nomiae</t>
  </si>
  <si>
    <t>2022-9-16-16</t>
  </si>
  <si>
    <t>Candida.albicans|Mycobacterium.tuberculosis|Stenotrophomonas.bentonitica|Penicillium.glabrum</t>
  </si>
  <si>
    <t>Candida.tropicalis|Diplonema.papillatum|Mycobacterium.paraintracellulare|Penicillium.glabrum</t>
  </si>
  <si>
    <t>2022-9-26-16</t>
  </si>
  <si>
    <t>Corynebacterium.otitidis|Varroa.destructor</t>
  </si>
  <si>
    <t>2022-9-27-14</t>
  </si>
  <si>
    <t>Acinetobacter.baumannii|Tropheryma.whipplei|Diplonema.papillatum|Citrobacter.braakii|Bordetella.hinzii|Ochroconis.constricta|Filobasidium.wieringae</t>
  </si>
  <si>
    <t>2022-9-28-10</t>
  </si>
  <si>
    <t>Diplonema.papillatum|Stenotrophomonas.bentonitica|Citrobacter.braakii|Aureobasidium.namibiae</t>
  </si>
  <si>
    <t>2022-10-9-14</t>
  </si>
  <si>
    <t>Candida.albicans|Diplonema.papillatum</t>
  </si>
  <si>
    <t>2022-10-9-10</t>
  </si>
  <si>
    <t>Candida.dubliniensis</t>
  </si>
  <si>
    <t>Diplonema.papillatum|Stenotrophomonas.bentonitica</t>
  </si>
  <si>
    <t>2022-10-12-11</t>
  </si>
  <si>
    <t>Diplonema.papillatum|Citrobacter.braakii</t>
  </si>
  <si>
    <t>2022-10-14-11</t>
  </si>
  <si>
    <t>Pyrrhoderma.noxium</t>
  </si>
  <si>
    <t>2022-10-17-11</t>
  </si>
  <si>
    <t>Human.papillomavirus.167</t>
  </si>
  <si>
    <t>2022-10-24-13</t>
  </si>
  <si>
    <t>Stenotrophomonas.maltophilia|Calidifontibacter.indicus|Lysobacter.soli|Mitsuaria.noduli</t>
  </si>
  <si>
    <t>2022-10-27-10</t>
  </si>
  <si>
    <t>Stenotrophomonas.bentonitica</t>
  </si>
  <si>
    <t>2022-11-2-14</t>
  </si>
  <si>
    <t>Haemophilus.influenzae|Moraxella.catarrhalis|Scedosporium.apiospermum</t>
  </si>
  <si>
    <t>2022-11-7-11</t>
  </si>
  <si>
    <t>Streptococcus.pneumoniae|Haemophilus.influenzae|Rhizopus.delemar</t>
  </si>
  <si>
    <t>2022-11-9-12</t>
  </si>
  <si>
    <t>Nigrograna.mackinnonii|Mycoplasma.ovipneumoniae</t>
  </si>
  <si>
    <t>2022-12-12-11</t>
  </si>
  <si>
    <t>Rickettsia.felis|Diplonema.papillatum|Stenotrophomonas.bentonitica|Citrobacter.braakii|Human.papillomavirus.157</t>
  </si>
  <si>
    <t>2022-12-18-12</t>
  </si>
  <si>
    <t>2022-12-18-15</t>
  </si>
  <si>
    <t>2022-12-13-11</t>
  </si>
  <si>
    <t>Pneumocystis.jirovecii|Diplonema.papillatum</t>
  </si>
  <si>
    <t>2022-12-16-14</t>
  </si>
  <si>
    <t>Penicillium.glabrum|Human.papillomavirus.type.161</t>
  </si>
  <si>
    <t>2023-2-7-10</t>
  </si>
  <si>
    <t>Candida.albicans|Pneumocystis.jirovecii|Cyberlindnera.fabianii|Rickettsia.felis</t>
  </si>
  <si>
    <t>2023-2-8-11</t>
  </si>
  <si>
    <t>2023-3-9-14</t>
  </si>
  <si>
    <t>2023-3-8-15</t>
  </si>
  <si>
    <t>Hortaea.werneckii|Mycoplasma.ovipneumoniae</t>
  </si>
  <si>
    <t>2023-3-10-15</t>
  </si>
  <si>
    <t>2023-3-20-11</t>
  </si>
  <si>
    <t>Rhizopus.oryzae</t>
  </si>
  <si>
    <t>2023-3-28-11</t>
  </si>
  <si>
    <t>Rickettsia.felis|Apiotrichum.domesticum</t>
  </si>
  <si>
    <t>2023-4-4-10</t>
  </si>
  <si>
    <t>2023-4-17-14</t>
  </si>
  <si>
    <t>Variable Name</t>
  </si>
  <si>
    <t>Description</t>
  </si>
  <si>
    <t>Data Type</t>
  </si>
  <si>
    <t>Values / Units</t>
  </si>
  <si>
    <t>Patient cohort allocation</t>
  </si>
  <si>
    <t>Categorical</t>
  </si>
  <si>
    <t>0 =  mNGS group; 1 = non-mNGS group</t>
  </si>
  <si>
    <t>Unique identifier for each patient</t>
  </si>
  <si>
    <t>Numeric</t>
  </si>
  <si>
    <t>Numeric ID</t>
  </si>
  <si>
    <t>Patient age at admission</t>
  </si>
  <si>
    <t>Years</t>
  </si>
  <si>
    <t>fever / cough / chest_pain</t>
  </si>
  <si>
    <t>Clinical symptoms upon admission</t>
  </si>
  <si>
    <t>0 = Absent; 1 = Present</t>
  </si>
  <si>
    <t>hypertension / hyperglycemia / hyperlipidemia / coronary_artery_disease / COPD / tumor</t>
  </si>
  <si>
    <t>Pre-existing comorbidities</t>
  </si>
  <si>
    <t>0 = No; 1 = Yes</t>
  </si>
  <si>
    <t>Date of hospital admission</t>
  </si>
  <si>
    <t>Date</t>
  </si>
  <si>
    <t>YYYY-MM-DD</t>
  </si>
  <si>
    <t>Date of hospital discharge</t>
  </si>
  <si>
    <t>Date of ICU admission</t>
  </si>
  <si>
    <t>Date of ICU discharge</t>
  </si>
  <si>
    <t>Date of sample collection for culture (mNGS)</t>
  </si>
  <si>
    <t>YYYY-MM-DD-HH</t>
  </si>
  <si>
    <t>Total length of hospital stay</t>
  </si>
  <si>
    <t>Days</t>
  </si>
  <si>
    <t>Total direct medical costs during hospitalization</t>
  </si>
  <si>
    <t>RMB (Yuan)</t>
  </si>
  <si>
    <t>Turnaround time for conventional culture</t>
  </si>
  <si>
    <t>Hours</t>
  </si>
  <si>
    <t>mNGS_tat_hours</t>
  </si>
  <si>
    <t>Turnaround time for mNGS testing</t>
  </si>
  <si>
    <t>Conventional culture detection results</t>
  </si>
  <si>
    <t>0 = Microorganisms detected, but not pathogenic;
1 = Causative pathogens detected;
(-) = No microorganisms detected / Negative</t>
  </si>
  <si>
    <t>mNGS detection results</t>
  </si>
  <si>
    <t>0 = Microorganisms detected, but not pathogenic;
1 = Causative pathogens detected;
(-) = No microorganisms detected / Negative;
NA = Not tested (for non-mNGS group)</t>
  </si>
  <si>
    <t>Pathogen classification tier</t>
  </si>
  <si>
    <t>1 = Common; 2 = Uncommon; 3 = Rare</t>
  </si>
  <si>
    <t>Categorical</t>
    <phoneticPr fontId="8" type="noConversion"/>
  </si>
  <si>
    <t>type</t>
    <phoneticPr fontId="8" type="noConversion"/>
  </si>
  <si>
    <t>name</t>
    <phoneticPr fontId="8" type="noConversion"/>
  </si>
  <si>
    <t>mNGS(+),Culture(+)</t>
    <phoneticPr fontId="8" type="noConversion"/>
  </si>
  <si>
    <t>mNGS(+),Culture(-)</t>
    <phoneticPr fontId="8" type="noConversion"/>
  </si>
  <si>
    <t>mNGS(-),Culture(+)</t>
    <phoneticPr fontId="8" type="noConversion"/>
  </si>
  <si>
    <t>Common</t>
  </si>
  <si>
    <t>Klebsiella pneumoniae</t>
  </si>
  <si>
    <t>Pseudomonas aeruginosa</t>
  </si>
  <si>
    <t>Staphylococcus aureus</t>
  </si>
  <si>
    <t>Aspergillus sydowii</t>
  </si>
  <si>
    <t>Haemophilus influenzae</t>
  </si>
  <si>
    <t>Acinetobacter johnsonii</t>
  </si>
  <si>
    <t>Pseudomonas extremorientalis</t>
  </si>
  <si>
    <t>Acinetobacter baumannii</t>
  </si>
  <si>
    <t>Stenotrophomonas maltophilia</t>
  </si>
  <si>
    <t>Mycobacterium tuberculosis</t>
  </si>
  <si>
    <t>Pantoea septica</t>
  </si>
  <si>
    <t>Aspergillus fumigatus</t>
  </si>
  <si>
    <t>Aspergillus flavus</t>
  </si>
  <si>
    <t>Acinetobacter junii</t>
  </si>
  <si>
    <t>Stenotrophomonas bentonitica</t>
  </si>
  <si>
    <t>Pseudomonas stutzeri</t>
  </si>
  <si>
    <t>Elizabethkingia bruuniana</t>
  </si>
  <si>
    <t>Pneumocystis jirovecii</t>
  </si>
  <si>
    <t>Citrobacter braakii</t>
  </si>
  <si>
    <t>Rickettsia felis</t>
  </si>
  <si>
    <t>Serratia grimesii</t>
  </si>
  <si>
    <t>Acinetobacter guillouiae</t>
  </si>
  <si>
    <t>Uncommon</t>
  </si>
  <si>
    <t>Mycobacteroides abscessus</t>
  </si>
  <si>
    <t>Moraxella catarrhalis</t>
  </si>
  <si>
    <t>Escherichia coli</t>
  </si>
  <si>
    <t>Ewingella americana</t>
  </si>
  <si>
    <t>Pseudomonas denitrificans</t>
  </si>
  <si>
    <t>Burkholderia vietnamiensis</t>
  </si>
  <si>
    <t>Klebsiella aerogenes</t>
  </si>
  <si>
    <t>Corynebacterium striatum</t>
  </si>
  <si>
    <t>Acinetobacter indicus</t>
  </si>
  <si>
    <t>Pseudomonas fluvialis</t>
  </si>
  <si>
    <t>Aspergillus rambellii</t>
  </si>
  <si>
    <t>Acinetobacter pittii</t>
  </si>
  <si>
    <t>Aggregatibacter segnis</t>
  </si>
  <si>
    <t>Acinetobacter lwoffii</t>
  </si>
  <si>
    <t>Pseudomonas formosensis</t>
  </si>
  <si>
    <t>Burkholderia ubonensis</t>
  </si>
  <si>
    <t>Mycobacterium paraintracellulare</t>
  </si>
  <si>
    <t>Aspergillus ruber</t>
  </si>
  <si>
    <t>Aspergillus versicolor</t>
  </si>
  <si>
    <t>Acinetobacter nosocomialis</t>
  </si>
  <si>
    <t>Cryptococcus neoformans</t>
  </si>
  <si>
    <t>Rare</t>
  </si>
  <si>
    <t>Mycobacterium avium</t>
  </si>
  <si>
    <t>Burkholderia cepacia</t>
  </si>
  <si>
    <t>Serratia marcescens</t>
  </si>
  <si>
    <t>Bordetella pertussis</t>
  </si>
  <si>
    <t>Bordetella parapertussis</t>
  </si>
  <si>
    <t>Citrobacter portucalensis</t>
  </si>
  <si>
    <t>Proteus mirabilis</t>
  </si>
  <si>
    <t>Acinetobacter gyllenbergii</t>
  </si>
  <si>
    <t>Acinetobacter oleivorans</t>
  </si>
  <si>
    <t>Acinetobacter parvus</t>
  </si>
  <si>
    <t>Acinetobacter ursingii</t>
  </si>
  <si>
    <t>Pseudomonas balearica</t>
  </si>
  <si>
    <t>Pseudomonas sp  TKP</t>
  </si>
  <si>
    <t>Elizabethkingia anophelis</t>
  </si>
  <si>
    <t>Elizabethkingia miricola</t>
  </si>
  <si>
    <t>Burkholderia multivorans</t>
  </si>
  <si>
    <t>Mycobacterium paragordonae</t>
  </si>
  <si>
    <t>Aspergillus nomiae</t>
  </si>
  <si>
    <t>Scedosporium apiospermum</t>
  </si>
  <si>
    <t>Fusarium euwallaceae</t>
  </si>
  <si>
    <t>Mycoplasma pneumoniae</t>
  </si>
  <si>
    <t>Chlamydia psittaci</t>
    <phoneticPr fontId="8" type="noConversion"/>
  </si>
  <si>
    <t>Klebsiella oxytoca</t>
  </si>
  <si>
    <t>Proteus penneri</t>
  </si>
  <si>
    <t>Pseudomonas oryzihabitans</t>
  </si>
  <si>
    <t>Streptococcus pyogenes</t>
  </si>
  <si>
    <t>Aspergillus terreus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</si>
</sst>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yyyy\-mm\-dd;@"/>
    <numFmt numFmtId="178" formatCode="0_ "/>
    <numFmt numFmtId="179" formatCode="0.00_ "/>
    <numFmt numFmtId="180" formatCode="yyyy\-mm\-dd\-hh"/>
  </numFmts>
  <fonts count="1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2"/>
      <name val="Times New Roman"/>
      <family val="1"/>
    </font>
    <font>
      <sz val="11"/>
      <name val="Times New Roman"/>
      <family val="1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B05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177" fontId="4" fillId="0" borderId="0" xfId="0" applyNumberFormat="1" applyFont="1" applyAlignment="1">
      <alignment horizontal="left"/>
    </xf>
    <xf numFmtId="178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top"/>
    </xf>
    <xf numFmtId="179" fontId="4" fillId="0" borderId="0" xfId="0" applyNumberFormat="1" applyFont="1" applyAlignment="1">
      <alignment horizontal="left"/>
    </xf>
    <xf numFmtId="179" fontId="4" fillId="0" borderId="0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177" fontId="5" fillId="0" borderId="1" xfId="0" applyNumberFormat="1" applyFont="1" applyBorder="1" applyAlignment="1">
      <alignment horizontal="left" vertical="center" wrapText="1"/>
    </xf>
    <xf numFmtId="178" fontId="5" fillId="0" borderId="1" xfId="0" applyNumberFormat="1" applyFont="1" applyBorder="1" applyAlignment="1">
      <alignment horizontal="left" vertical="center" wrapText="1"/>
    </xf>
    <xf numFmtId="179" fontId="5" fillId="0" borderId="1" xfId="0" applyNumberFormat="1" applyFont="1" applyBorder="1" applyAlignment="1">
      <alignment horizontal="left" vertical="center" wrapText="1"/>
    </xf>
    <xf numFmtId="179" fontId="5" fillId="0" borderId="2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/>
    </xf>
    <xf numFmtId="176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77" fontId="6" fillId="0" borderId="1" xfId="0" applyNumberFormat="1" applyFont="1" applyBorder="1" applyAlignment="1">
      <alignment horizontal="left" vertical="top" wrapText="1"/>
    </xf>
    <xf numFmtId="178" fontId="6" fillId="0" borderId="1" xfId="0" applyNumberFormat="1" applyFont="1" applyBorder="1" applyAlignment="1">
      <alignment horizontal="left" vertical="top" wrapText="1"/>
    </xf>
    <xf numFmtId="180" fontId="6" fillId="0" borderId="1" xfId="0" applyNumberFormat="1" applyFont="1" applyBorder="1" applyAlignment="1">
      <alignment horizontal="left" vertical="top"/>
    </xf>
    <xf numFmtId="179" fontId="6" fillId="0" borderId="1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/>
    </xf>
    <xf numFmtId="0" fontId="6" fillId="0" borderId="1" xfId="0" applyNumberFormat="1" applyFont="1" applyBorder="1" applyAlignment="1">
      <alignment horizontal="left" vertical="top" wrapText="1"/>
    </xf>
    <xf numFmtId="176" fontId="6" fillId="0" borderId="1" xfId="0" applyNumberFormat="1" applyFont="1" applyBorder="1" applyAlignment="1">
      <alignment horizontal="left" vertical="top"/>
    </xf>
    <xf numFmtId="177" fontId="6" fillId="0" borderId="1" xfId="0" applyNumberFormat="1" applyFont="1" applyBorder="1" applyAlignment="1">
      <alignment horizontal="left" vertical="top"/>
    </xf>
    <xf numFmtId="31" fontId="6" fillId="0" borderId="1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top"/>
    </xf>
    <xf numFmtId="14" fontId="6" fillId="0" borderId="1" xfId="0" applyNumberFormat="1" applyFont="1" applyBorder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9" fillId="3" borderId="0" xfId="0" applyFont="1" applyFill="1"/>
    <xf numFmtId="0" fontId="11" fillId="3" borderId="0" xfId="0" applyFont="1" applyFill="1"/>
    <xf numFmtId="0" fontId="11" fillId="3" borderId="0" xfId="0" applyFont="1" applyFill="1" applyAlignment="1">
      <alignment vertical="center"/>
    </xf>
    <xf numFmtId="0" fontId="11" fillId="3" borderId="3" xfId="0" applyFont="1" applyFill="1" applyBorder="1"/>
    <xf numFmtId="0" fontId="9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9" fillId="5" borderId="0" xfId="0" applyFont="1" applyFill="1"/>
    <xf numFmtId="0" fontId="11" fillId="5" borderId="0" xfId="0" applyFont="1" applyFill="1" applyAlignment="1">
      <alignment vertical="center"/>
    </xf>
    <xf numFmtId="0" fontId="12" fillId="0" borderId="3" xfId="0" applyFont="1" applyBorder="1" applyAlignment="1">
      <alignment horizontal="left" vertical="center"/>
    </xf>
    <xf numFmtId="0" fontId="11" fillId="5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3"/>
  <sheetViews>
    <sheetView tabSelected="1" zoomScale="83" workbookViewId="0">
      <selection activeCell="T1" sqref="T1:T523"/>
    </sheetView>
  </sheetViews>
  <sheetFormatPr defaultColWidth="9.06640625" defaultRowHeight="14.55" customHeight="1" x14ac:dyDescent="0.35"/>
  <cols>
    <col min="1" max="1" width="9.1328125" style="7" customWidth="1"/>
    <col min="2" max="2" width="7.9296875" style="7" customWidth="1"/>
    <col min="3" max="3" width="9.1328125" style="8" customWidth="1"/>
    <col min="4" max="4" width="9.06640625" style="7"/>
    <col min="5" max="6" width="9.1328125" style="7" customWidth="1"/>
    <col min="7" max="7" width="11.796875" style="7" customWidth="1"/>
    <col min="8" max="8" width="14.06640625" style="7" customWidth="1"/>
    <col min="9" max="9" width="16.53125" style="7" customWidth="1"/>
    <col min="10" max="10" width="16.9296875" style="7" customWidth="1"/>
    <col min="11" max="11" width="16.19921875" style="7" customWidth="1"/>
    <col min="12" max="13" width="9.1328125" style="7" customWidth="1"/>
    <col min="14" max="15" width="15.73046875" style="9" customWidth="1"/>
    <col min="16" max="16" width="13.86328125" style="10" customWidth="1"/>
    <col min="17" max="17" width="15.6640625" style="7" customWidth="1"/>
    <col min="18" max="18" width="14.9296875" style="11" customWidth="1"/>
    <col min="19" max="19" width="12.46484375" style="7" customWidth="1"/>
    <col min="20" max="20" width="11.9296875" style="7" customWidth="1"/>
    <col min="21" max="21" width="16.9296875" style="7" customWidth="1"/>
    <col min="22" max="22" width="20.86328125" style="9" customWidth="1"/>
    <col min="23" max="23" width="16.06640625" style="7" customWidth="1"/>
    <col min="24" max="24" width="14.796875" style="6" customWidth="1"/>
    <col min="25" max="25" width="11.53125" style="12" customWidth="1"/>
    <col min="26" max="26" width="10.1328125" style="12" customWidth="1"/>
    <col min="27" max="27" width="10.3984375" style="12" customWidth="1"/>
    <col min="28" max="28" width="10.59765625" style="12" customWidth="1"/>
    <col min="29" max="29" width="14.9296875" style="13" customWidth="1"/>
    <col min="30" max="30" width="13.59765625" style="13" customWidth="1"/>
    <col min="31" max="31" width="9.06640625" style="7"/>
    <col min="32" max="32" width="9.06640625" style="7" customWidth="1"/>
    <col min="33" max="35" width="9.06640625" style="7"/>
    <col min="36" max="36" width="9.06640625" style="7" customWidth="1"/>
    <col min="37" max="16384" width="9.06640625" style="7"/>
  </cols>
  <sheetData>
    <row r="1" spans="1:30" s="5" customFormat="1" ht="35.25" customHeight="1" x14ac:dyDescent="0.4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6" t="s">
        <v>13</v>
      </c>
      <c r="O1" s="16" t="s">
        <v>14</v>
      </c>
      <c r="P1" s="17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6" t="s">
        <v>21</v>
      </c>
      <c r="W1" s="14" t="s">
        <v>22</v>
      </c>
      <c r="X1" s="14" t="s">
        <v>23</v>
      </c>
      <c r="Y1" s="18" t="s">
        <v>24</v>
      </c>
      <c r="Z1" s="18" t="s">
        <v>25</v>
      </c>
      <c r="AA1" s="19" t="s">
        <v>26</v>
      </c>
      <c r="AB1" s="19" t="s">
        <v>27</v>
      </c>
      <c r="AC1" s="18" t="s">
        <v>28</v>
      </c>
      <c r="AD1" s="18" t="s">
        <v>29</v>
      </c>
    </row>
    <row r="2" spans="1:30" ht="14.55" customHeight="1" x14ac:dyDescent="0.4">
      <c r="A2" s="20">
        <v>1</v>
      </c>
      <c r="B2" s="20">
        <v>1</v>
      </c>
      <c r="C2" s="21">
        <v>59</v>
      </c>
      <c r="D2" s="22" t="s">
        <v>30</v>
      </c>
      <c r="E2" s="22">
        <v>0</v>
      </c>
      <c r="F2" s="22">
        <v>0</v>
      </c>
      <c r="G2" s="22">
        <v>0</v>
      </c>
      <c r="H2" s="22">
        <v>1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3">
        <v>44499.362500000003</v>
      </c>
      <c r="O2" s="23">
        <v>44515</v>
      </c>
      <c r="P2" s="24">
        <f>O2-N2+1</f>
        <v>16.6374999999971</v>
      </c>
      <c r="Q2" s="20" t="s">
        <v>31</v>
      </c>
      <c r="R2" s="20" t="s">
        <v>31</v>
      </c>
      <c r="S2" s="20" t="s">
        <v>32</v>
      </c>
      <c r="T2" s="20">
        <v>15118.29</v>
      </c>
      <c r="U2" s="20" t="s">
        <v>33</v>
      </c>
      <c r="V2" s="25">
        <v>44505.704236111102</v>
      </c>
      <c r="W2" s="20" t="s">
        <v>34</v>
      </c>
      <c r="X2" s="20"/>
      <c r="Y2" s="26">
        <v>45.751111111196202</v>
      </c>
      <c r="Z2" s="22" t="s">
        <v>35</v>
      </c>
      <c r="AA2" s="27" t="s">
        <v>34</v>
      </c>
      <c r="AB2" s="27" t="s">
        <v>31</v>
      </c>
      <c r="AC2" s="28" t="s">
        <v>31</v>
      </c>
      <c r="AD2" s="28" t="s">
        <v>31</v>
      </c>
    </row>
    <row r="3" spans="1:30" ht="14.55" customHeight="1" x14ac:dyDescent="0.4">
      <c r="A3" s="20">
        <v>1</v>
      </c>
      <c r="B3" s="20">
        <v>3</v>
      </c>
      <c r="C3" s="21">
        <v>60</v>
      </c>
      <c r="D3" s="22" t="s">
        <v>30</v>
      </c>
      <c r="E3" s="22">
        <v>0</v>
      </c>
      <c r="F3" s="22">
        <v>1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3">
        <v>44538.638888888898</v>
      </c>
      <c r="O3" s="23">
        <v>44545</v>
      </c>
      <c r="P3" s="24">
        <f t="shared" ref="P3:P66" si="0">O3-N3+1</f>
        <v>7.3611111111022201</v>
      </c>
      <c r="Q3" s="20" t="s">
        <v>31</v>
      </c>
      <c r="R3" s="20" t="s">
        <v>31</v>
      </c>
      <c r="S3" s="22" t="s">
        <v>32</v>
      </c>
      <c r="T3" s="20">
        <v>9599.59</v>
      </c>
      <c r="U3" s="22" t="s">
        <v>36</v>
      </c>
      <c r="V3" s="25">
        <v>44543.699618055602</v>
      </c>
      <c r="W3" s="20" t="s">
        <v>37</v>
      </c>
      <c r="X3" s="20"/>
      <c r="Y3" s="26">
        <v>67.083611109643201</v>
      </c>
      <c r="Z3" s="22" t="s">
        <v>35</v>
      </c>
      <c r="AA3" s="27">
        <v>1</v>
      </c>
      <c r="AB3" s="27" t="s">
        <v>31</v>
      </c>
      <c r="AC3" s="28">
        <v>1</v>
      </c>
      <c r="AD3" s="28" t="s">
        <v>31</v>
      </c>
    </row>
    <row r="4" spans="1:30" ht="14.55" customHeight="1" x14ac:dyDescent="0.4">
      <c r="A4" s="20">
        <v>1</v>
      </c>
      <c r="B4" s="20">
        <v>4</v>
      </c>
      <c r="C4" s="21">
        <v>58</v>
      </c>
      <c r="D4" s="22" t="s">
        <v>38</v>
      </c>
      <c r="E4" s="22">
        <v>0</v>
      </c>
      <c r="F4" s="22">
        <v>1</v>
      </c>
      <c r="G4" s="22">
        <v>0</v>
      </c>
      <c r="H4" s="22">
        <v>1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3">
        <v>44120.637499999997</v>
      </c>
      <c r="O4" s="23">
        <v>44131</v>
      </c>
      <c r="P4" s="24">
        <f t="shared" si="0"/>
        <v>11.3625000000029</v>
      </c>
      <c r="Q4" s="20" t="s">
        <v>31</v>
      </c>
      <c r="R4" s="20" t="s">
        <v>31</v>
      </c>
      <c r="S4" s="20" t="s">
        <v>32</v>
      </c>
      <c r="T4" s="20">
        <v>11238.21</v>
      </c>
      <c r="U4" s="20" t="s">
        <v>39</v>
      </c>
      <c r="V4" s="25">
        <v>44126.490590277797</v>
      </c>
      <c r="W4" s="20" t="s">
        <v>34</v>
      </c>
      <c r="X4" s="20"/>
      <c r="Y4" s="26">
        <v>46.614999998419101</v>
      </c>
      <c r="Z4" s="22" t="s">
        <v>35</v>
      </c>
      <c r="AA4" s="27" t="s">
        <v>34</v>
      </c>
      <c r="AB4" s="27" t="s">
        <v>31</v>
      </c>
      <c r="AC4" s="28" t="s">
        <v>31</v>
      </c>
      <c r="AD4" s="28" t="s">
        <v>31</v>
      </c>
    </row>
    <row r="5" spans="1:30" ht="14.55" customHeight="1" x14ac:dyDescent="0.4">
      <c r="A5" s="20">
        <v>1</v>
      </c>
      <c r="B5" s="20">
        <v>5</v>
      </c>
      <c r="C5" s="29">
        <v>59</v>
      </c>
      <c r="D5" s="22" t="s">
        <v>38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3">
        <v>44126.623611111099</v>
      </c>
      <c r="O5" s="23">
        <v>44150</v>
      </c>
      <c r="P5" s="24">
        <f t="shared" si="0"/>
        <v>24.376388888900699</v>
      </c>
      <c r="Q5" s="20" t="s">
        <v>31</v>
      </c>
      <c r="R5" s="20" t="s">
        <v>31</v>
      </c>
      <c r="S5" s="20" t="s">
        <v>32</v>
      </c>
      <c r="T5" s="20">
        <v>98303.44</v>
      </c>
      <c r="U5" s="20" t="s">
        <v>40</v>
      </c>
      <c r="V5" s="25">
        <v>44132.487060185202</v>
      </c>
      <c r="W5" s="20" t="s">
        <v>34</v>
      </c>
      <c r="X5" s="20"/>
      <c r="Y5" s="26">
        <v>47.195277777558701</v>
      </c>
      <c r="Z5" s="22" t="s">
        <v>35</v>
      </c>
      <c r="AA5" s="27" t="s">
        <v>34</v>
      </c>
      <c r="AB5" s="27" t="s">
        <v>31</v>
      </c>
      <c r="AC5" s="28" t="s">
        <v>31</v>
      </c>
      <c r="AD5" s="28" t="s">
        <v>31</v>
      </c>
    </row>
    <row r="6" spans="1:30" ht="14.55" customHeight="1" x14ac:dyDescent="0.4">
      <c r="A6" s="20">
        <v>1</v>
      </c>
      <c r="B6" s="20">
        <v>6</v>
      </c>
      <c r="C6" s="29">
        <v>67</v>
      </c>
      <c r="D6" s="22" t="s">
        <v>30</v>
      </c>
      <c r="E6" s="22">
        <v>0</v>
      </c>
      <c r="F6" s="22">
        <v>1</v>
      </c>
      <c r="G6" s="22">
        <v>0</v>
      </c>
      <c r="H6" s="22">
        <v>1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3">
        <v>44140.590277777803</v>
      </c>
      <c r="O6" s="23">
        <v>44148</v>
      </c>
      <c r="P6" s="24">
        <f t="shared" si="0"/>
        <v>8.4097222221971606</v>
      </c>
      <c r="Q6" s="20" t="s">
        <v>31</v>
      </c>
      <c r="R6" s="20" t="s">
        <v>31</v>
      </c>
      <c r="S6" s="20" t="s">
        <v>32</v>
      </c>
      <c r="T6" s="20">
        <v>11741.55</v>
      </c>
      <c r="U6" s="20" t="s">
        <v>36</v>
      </c>
      <c r="V6" s="25">
        <v>44144.467071759304</v>
      </c>
      <c r="W6" s="20" t="s">
        <v>34</v>
      </c>
      <c r="X6" s="20"/>
      <c r="Y6" s="26">
        <v>239.121388888685</v>
      </c>
      <c r="Z6" s="22" t="s">
        <v>35</v>
      </c>
      <c r="AA6" s="27" t="s">
        <v>34</v>
      </c>
      <c r="AB6" s="27" t="s">
        <v>31</v>
      </c>
      <c r="AC6" s="28" t="s">
        <v>31</v>
      </c>
      <c r="AD6" s="28" t="s">
        <v>31</v>
      </c>
    </row>
    <row r="7" spans="1:30" ht="14.55" customHeight="1" x14ac:dyDescent="0.4">
      <c r="A7" s="20">
        <v>1</v>
      </c>
      <c r="B7" s="20">
        <v>7</v>
      </c>
      <c r="C7" s="29">
        <v>58</v>
      </c>
      <c r="D7" s="22" t="s">
        <v>38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3">
        <v>44418.5715277778</v>
      </c>
      <c r="O7" s="23">
        <v>44425</v>
      </c>
      <c r="P7" s="24">
        <f t="shared" si="0"/>
        <v>7.4284722222000701</v>
      </c>
      <c r="Q7" s="20" t="s">
        <v>31</v>
      </c>
      <c r="R7" s="20" t="s">
        <v>31</v>
      </c>
      <c r="S7" s="20" t="s">
        <v>32</v>
      </c>
      <c r="T7" s="20">
        <v>7794.45</v>
      </c>
      <c r="U7" s="20" t="s">
        <v>39</v>
      </c>
      <c r="V7" s="25">
        <v>44424.481458333299</v>
      </c>
      <c r="W7" s="20" t="s">
        <v>34</v>
      </c>
      <c r="X7" s="20"/>
      <c r="Y7" s="26">
        <v>46.459444444742999</v>
      </c>
      <c r="Z7" s="22" t="s">
        <v>35</v>
      </c>
      <c r="AA7" s="27" t="s">
        <v>34</v>
      </c>
      <c r="AB7" s="27" t="s">
        <v>31</v>
      </c>
      <c r="AC7" s="28" t="s">
        <v>31</v>
      </c>
      <c r="AD7" s="28" t="s">
        <v>31</v>
      </c>
    </row>
    <row r="8" spans="1:30" ht="14.55" customHeight="1" x14ac:dyDescent="0.4">
      <c r="A8" s="20">
        <v>1</v>
      </c>
      <c r="B8" s="20">
        <v>8</v>
      </c>
      <c r="C8" s="29">
        <v>59</v>
      </c>
      <c r="D8" s="22" t="s">
        <v>38</v>
      </c>
      <c r="E8" s="22">
        <v>0</v>
      </c>
      <c r="F8" s="22">
        <v>1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3">
        <v>43974.629861111098</v>
      </c>
      <c r="O8" s="23">
        <v>43981</v>
      </c>
      <c r="P8" s="24">
        <f t="shared" si="0"/>
        <v>7.37013888890215</v>
      </c>
      <c r="Q8" s="20" t="s">
        <v>31</v>
      </c>
      <c r="R8" s="20" t="s">
        <v>31</v>
      </c>
      <c r="S8" s="20" t="s">
        <v>32</v>
      </c>
      <c r="T8" s="20">
        <v>9414.1200000000008</v>
      </c>
      <c r="U8" s="20" t="s">
        <v>33</v>
      </c>
      <c r="V8" s="25">
        <v>43979.494467592602</v>
      </c>
      <c r="W8" s="20" t="s">
        <v>34</v>
      </c>
      <c r="X8" s="20"/>
      <c r="Y8" s="26">
        <v>50.455277776694899</v>
      </c>
      <c r="Z8" s="22" t="s">
        <v>35</v>
      </c>
      <c r="AA8" s="27" t="s">
        <v>34</v>
      </c>
      <c r="AB8" s="27" t="s">
        <v>31</v>
      </c>
      <c r="AC8" s="28" t="s">
        <v>31</v>
      </c>
      <c r="AD8" s="28" t="s">
        <v>31</v>
      </c>
    </row>
    <row r="9" spans="1:30" ht="14.55" customHeight="1" x14ac:dyDescent="0.4">
      <c r="A9" s="20">
        <v>1</v>
      </c>
      <c r="B9" s="20">
        <v>9</v>
      </c>
      <c r="C9" s="29">
        <v>61</v>
      </c>
      <c r="D9" s="22" t="s">
        <v>30</v>
      </c>
      <c r="E9" s="22">
        <v>0</v>
      </c>
      <c r="F9" s="22">
        <v>0</v>
      </c>
      <c r="G9" s="22">
        <v>0</v>
      </c>
      <c r="H9" s="22">
        <v>1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3">
        <v>44016.4555555556</v>
      </c>
      <c r="O9" s="23">
        <v>44049</v>
      </c>
      <c r="P9" s="24">
        <f t="shared" si="0"/>
        <v>33.544444444400099</v>
      </c>
      <c r="Q9" s="20" t="s">
        <v>31</v>
      </c>
      <c r="R9" s="20" t="s">
        <v>31</v>
      </c>
      <c r="S9" s="20" t="s">
        <v>32</v>
      </c>
      <c r="T9" s="20">
        <v>331427.28000000003</v>
      </c>
      <c r="U9" s="20" t="s">
        <v>40</v>
      </c>
      <c r="V9" s="25">
        <v>44043.722372685203</v>
      </c>
      <c r="W9" s="20" t="s">
        <v>41</v>
      </c>
      <c r="X9" s="20"/>
      <c r="Y9" s="26">
        <v>41.7508333320147</v>
      </c>
      <c r="Z9" s="22" t="s">
        <v>35</v>
      </c>
      <c r="AA9" s="27">
        <v>1</v>
      </c>
      <c r="AB9" s="27" t="s">
        <v>31</v>
      </c>
      <c r="AC9" s="28">
        <v>1</v>
      </c>
      <c r="AD9" s="28" t="s">
        <v>31</v>
      </c>
    </row>
    <row r="10" spans="1:30" ht="14.55" customHeight="1" x14ac:dyDescent="0.4">
      <c r="A10" s="20">
        <v>1</v>
      </c>
      <c r="B10" s="20">
        <v>10</v>
      </c>
      <c r="C10" s="29">
        <v>60</v>
      </c>
      <c r="D10" s="22" t="s">
        <v>38</v>
      </c>
      <c r="E10" s="22">
        <v>0</v>
      </c>
      <c r="F10" s="22">
        <v>1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3">
        <v>44324.597222222197</v>
      </c>
      <c r="O10" s="23">
        <v>44333</v>
      </c>
      <c r="P10" s="24">
        <f t="shared" si="0"/>
        <v>9.4027777778028394</v>
      </c>
      <c r="Q10" s="20" t="s">
        <v>31</v>
      </c>
      <c r="R10" s="20" t="s">
        <v>31</v>
      </c>
      <c r="S10" s="20" t="s">
        <v>32</v>
      </c>
      <c r="T10" s="20">
        <v>8354.1200000000008</v>
      </c>
      <c r="U10" s="20" t="s">
        <v>40</v>
      </c>
      <c r="V10" s="25">
        <v>44329.635543981502</v>
      </c>
      <c r="W10" s="20" t="s">
        <v>34</v>
      </c>
      <c r="X10" s="20"/>
      <c r="Y10" s="26">
        <v>45.4213888896047</v>
      </c>
      <c r="Z10" s="22" t="s">
        <v>35</v>
      </c>
      <c r="AA10" s="27" t="s">
        <v>34</v>
      </c>
      <c r="AB10" s="27" t="s">
        <v>31</v>
      </c>
      <c r="AC10" s="28" t="s">
        <v>31</v>
      </c>
      <c r="AD10" s="28" t="s">
        <v>31</v>
      </c>
    </row>
    <row r="11" spans="1:30" ht="14.55" customHeight="1" x14ac:dyDescent="0.4">
      <c r="A11" s="20">
        <v>1</v>
      </c>
      <c r="B11" s="20">
        <v>11</v>
      </c>
      <c r="C11" s="29">
        <v>60</v>
      </c>
      <c r="D11" s="22" t="s">
        <v>38</v>
      </c>
      <c r="E11" s="22">
        <v>0</v>
      </c>
      <c r="F11" s="22">
        <v>1</v>
      </c>
      <c r="G11" s="22">
        <v>1</v>
      </c>
      <c r="H11" s="22">
        <v>1</v>
      </c>
      <c r="I11" s="22">
        <v>1</v>
      </c>
      <c r="J11" s="22">
        <v>0</v>
      </c>
      <c r="K11" s="22">
        <v>1</v>
      </c>
      <c r="L11" s="22">
        <v>0</v>
      </c>
      <c r="M11" s="22">
        <v>0</v>
      </c>
      <c r="N11" s="23">
        <v>44042.587500000001</v>
      </c>
      <c r="O11" s="23">
        <v>44055</v>
      </c>
      <c r="P11" s="24">
        <f t="shared" si="0"/>
        <v>13.4124999999985</v>
      </c>
      <c r="Q11" s="20" t="s">
        <v>31</v>
      </c>
      <c r="R11" s="20" t="s">
        <v>31</v>
      </c>
      <c r="S11" s="20" t="s">
        <v>32</v>
      </c>
      <c r="T11" s="20">
        <v>13878.87</v>
      </c>
      <c r="U11" s="20" t="s">
        <v>36</v>
      </c>
      <c r="V11" s="25">
        <v>44048.454930555599</v>
      </c>
      <c r="W11" s="20" t="s">
        <v>34</v>
      </c>
      <c r="X11" s="20"/>
      <c r="Y11" s="26">
        <v>221.180555553641</v>
      </c>
      <c r="Z11" s="22" t="s">
        <v>35</v>
      </c>
      <c r="AA11" s="27" t="s">
        <v>34</v>
      </c>
      <c r="AB11" s="27" t="s">
        <v>31</v>
      </c>
      <c r="AC11" s="28" t="s">
        <v>31</v>
      </c>
      <c r="AD11" s="28" t="s">
        <v>31</v>
      </c>
    </row>
    <row r="12" spans="1:30" ht="14.55" customHeight="1" x14ac:dyDescent="0.4">
      <c r="A12" s="20">
        <v>1</v>
      </c>
      <c r="B12" s="20">
        <v>12</v>
      </c>
      <c r="C12" s="29">
        <v>55</v>
      </c>
      <c r="D12" s="22" t="s">
        <v>30</v>
      </c>
      <c r="E12" s="22">
        <v>0</v>
      </c>
      <c r="F12" s="22">
        <v>0</v>
      </c>
      <c r="G12" s="22">
        <v>1</v>
      </c>
      <c r="H12" s="22">
        <v>0</v>
      </c>
      <c r="I12" s="22">
        <v>0</v>
      </c>
      <c r="J12" s="22">
        <v>0</v>
      </c>
      <c r="K12" s="22">
        <v>1</v>
      </c>
      <c r="L12" s="22">
        <v>0</v>
      </c>
      <c r="M12" s="22">
        <v>0</v>
      </c>
      <c r="N12" s="23">
        <v>44042.616666666698</v>
      </c>
      <c r="O12" s="23">
        <v>44050</v>
      </c>
      <c r="P12" s="24">
        <f t="shared" si="0"/>
        <v>8.3833333333022892</v>
      </c>
      <c r="Q12" s="20" t="s">
        <v>31</v>
      </c>
      <c r="R12" s="20" t="s">
        <v>31</v>
      </c>
      <c r="S12" s="20" t="s">
        <v>32</v>
      </c>
      <c r="T12" s="20">
        <v>6111.87</v>
      </c>
      <c r="U12" s="20" t="s">
        <v>33</v>
      </c>
      <c r="V12" s="25">
        <v>44048.455069444397</v>
      </c>
      <c r="W12" s="20" t="s">
        <v>34</v>
      </c>
      <c r="X12" s="20"/>
      <c r="Y12" s="26">
        <v>46.172500000800902</v>
      </c>
      <c r="Z12" s="22" t="s">
        <v>35</v>
      </c>
      <c r="AA12" s="27" t="s">
        <v>34</v>
      </c>
      <c r="AB12" s="27" t="s">
        <v>31</v>
      </c>
      <c r="AC12" s="28" t="s">
        <v>31</v>
      </c>
      <c r="AD12" s="28" t="s">
        <v>31</v>
      </c>
    </row>
    <row r="13" spans="1:30" ht="14.55" customHeight="1" x14ac:dyDescent="0.4">
      <c r="A13" s="20">
        <v>1</v>
      </c>
      <c r="B13" s="20">
        <v>13</v>
      </c>
      <c r="C13" s="29">
        <v>64</v>
      </c>
      <c r="D13" s="22" t="s">
        <v>38</v>
      </c>
      <c r="E13" s="22">
        <v>0</v>
      </c>
      <c r="F13" s="22">
        <v>1</v>
      </c>
      <c r="G13" s="22">
        <v>1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3">
        <v>44117.675000000003</v>
      </c>
      <c r="O13" s="23">
        <v>44138</v>
      </c>
      <c r="P13" s="24">
        <f t="shared" si="0"/>
        <v>21.3249999999971</v>
      </c>
      <c r="Q13" s="20" t="s">
        <v>31</v>
      </c>
      <c r="R13" s="20" t="s">
        <v>31</v>
      </c>
      <c r="S13" s="20" t="s">
        <v>32</v>
      </c>
      <c r="T13" s="20">
        <v>34931.910000000003</v>
      </c>
      <c r="U13" s="20" t="s">
        <v>36</v>
      </c>
      <c r="V13" s="25">
        <v>44120.635011574101</v>
      </c>
      <c r="W13" s="20" t="s">
        <v>34</v>
      </c>
      <c r="X13" s="20"/>
      <c r="Y13" s="26">
        <v>66.5769444431062</v>
      </c>
      <c r="Z13" s="22" t="s">
        <v>35</v>
      </c>
      <c r="AA13" s="27" t="s">
        <v>34</v>
      </c>
      <c r="AB13" s="27" t="s">
        <v>31</v>
      </c>
      <c r="AC13" s="28" t="s">
        <v>31</v>
      </c>
      <c r="AD13" s="28" t="s">
        <v>31</v>
      </c>
    </row>
    <row r="14" spans="1:30" ht="14.55" customHeight="1" x14ac:dyDescent="0.4">
      <c r="A14" s="20">
        <v>1</v>
      </c>
      <c r="B14" s="20">
        <v>14</v>
      </c>
      <c r="C14" s="29">
        <v>55</v>
      </c>
      <c r="D14" s="22" t="s">
        <v>38</v>
      </c>
      <c r="E14" s="22">
        <v>0</v>
      </c>
      <c r="F14" s="22">
        <v>1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3">
        <v>44181.628472222197</v>
      </c>
      <c r="O14" s="23">
        <v>44194</v>
      </c>
      <c r="P14" s="24">
        <f t="shared" si="0"/>
        <v>13.3715277778028</v>
      </c>
      <c r="Q14" s="20" t="s">
        <v>31</v>
      </c>
      <c r="R14" s="20" t="s">
        <v>31</v>
      </c>
      <c r="S14" s="20" t="s">
        <v>32</v>
      </c>
      <c r="T14" s="20">
        <v>14417.69</v>
      </c>
      <c r="U14" s="20" t="s">
        <v>40</v>
      </c>
      <c r="V14" s="25">
        <v>44187.485208333303</v>
      </c>
      <c r="W14" s="20" t="s">
        <v>34</v>
      </c>
      <c r="X14" s="20"/>
      <c r="Y14" s="26">
        <v>213.361111111182</v>
      </c>
      <c r="Z14" s="22" t="s">
        <v>35</v>
      </c>
      <c r="AA14" s="27" t="s">
        <v>34</v>
      </c>
      <c r="AB14" s="27" t="s">
        <v>31</v>
      </c>
      <c r="AC14" s="28" t="s">
        <v>31</v>
      </c>
      <c r="AD14" s="28" t="s">
        <v>31</v>
      </c>
    </row>
    <row r="15" spans="1:30" ht="14.55" customHeight="1" x14ac:dyDescent="0.4">
      <c r="A15" s="20">
        <v>1</v>
      </c>
      <c r="B15" s="20">
        <v>15</v>
      </c>
      <c r="C15" s="29">
        <v>57</v>
      </c>
      <c r="D15" s="22" t="s">
        <v>38</v>
      </c>
      <c r="E15" s="22">
        <v>0</v>
      </c>
      <c r="F15" s="22">
        <v>1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3">
        <v>44129.654861111099</v>
      </c>
      <c r="O15" s="23">
        <v>44159</v>
      </c>
      <c r="P15" s="24">
        <f t="shared" si="0"/>
        <v>30.345138888900699</v>
      </c>
      <c r="Q15" s="20" t="s">
        <v>31</v>
      </c>
      <c r="R15" s="20" t="s">
        <v>31</v>
      </c>
      <c r="S15" s="20" t="s">
        <v>32</v>
      </c>
      <c r="T15" s="20">
        <v>72027.210000000006</v>
      </c>
      <c r="U15" s="20" t="s">
        <v>40</v>
      </c>
      <c r="V15" s="25">
        <v>44138.487314814804</v>
      </c>
      <c r="W15" s="20" t="s">
        <v>34</v>
      </c>
      <c r="X15" s="20"/>
      <c r="Y15" s="26">
        <v>45.674722221563599</v>
      </c>
      <c r="Z15" s="22" t="s">
        <v>35</v>
      </c>
      <c r="AA15" s="27" t="s">
        <v>34</v>
      </c>
      <c r="AB15" s="27" t="s">
        <v>31</v>
      </c>
      <c r="AC15" s="28" t="s">
        <v>31</v>
      </c>
      <c r="AD15" s="28" t="s">
        <v>31</v>
      </c>
    </row>
    <row r="16" spans="1:30" ht="14.55" customHeight="1" x14ac:dyDescent="0.4">
      <c r="A16" s="20">
        <v>1</v>
      </c>
      <c r="B16" s="20">
        <v>16</v>
      </c>
      <c r="C16" s="29">
        <v>64</v>
      </c>
      <c r="D16" s="22" t="s">
        <v>30</v>
      </c>
      <c r="E16" s="22">
        <v>0</v>
      </c>
      <c r="F16" s="22">
        <v>1</v>
      </c>
      <c r="G16" s="22">
        <v>0</v>
      </c>
      <c r="H16" s="22">
        <v>0</v>
      </c>
      <c r="I16" s="22">
        <v>0</v>
      </c>
      <c r="J16" s="22">
        <v>0</v>
      </c>
      <c r="K16" s="22">
        <v>1</v>
      </c>
      <c r="L16" s="22">
        <v>0</v>
      </c>
      <c r="M16" s="22">
        <v>0</v>
      </c>
      <c r="N16" s="23">
        <v>44260.4868055556</v>
      </c>
      <c r="O16" s="23">
        <v>44260</v>
      </c>
      <c r="P16" s="24">
        <f t="shared" si="0"/>
        <v>0.51319444440014195</v>
      </c>
      <c r="Q16" s="20" t="s">
        <v>31</v>
      </c>
      <c r="R16" s="20" t="s">
        <v>31</v>
      </c>
      <c r="S16" s="20" t="s">
        <v>32</v>
      </c>
      <c r="T16" s="20">
        <v>11124.54</v>
      </c>
      <c r="U16" s="20" t="s">
        <v>36</v>
      </c>
      <c r="V16" s="25">
        <v>44260.640405092599</v>
      </c>
      <c r="W16" s="20" t="s">
        <v>34</v>
      </c>
      <c r="X16" s="20"/>
      <c r="Y16" s="26">
        <v>47.284166666446303</v>
      </c>
      <c r="Z16" s="22" t="s">
        <v>35</v>
      </c>
      <c r="AA16" s="27" t="s">
        <v>34</v>
      </c>
      <c r="AB16" s="27" t="s">
        <v>31</v>
      </c>
      <c r="AC16" s="28" t="s">
        <v>31</v>
      </c>
      <c r="AD16" s="28" t="s">
        <v>31</v>
      </c>
    </row>
    <row r="17" spans="1:30" ht="14.55" customHeight="1" x14ac:dyDescent="0.4">
      <c r="A17" s="20">
        <v>1</v>
      </c>
      <c r="B17" s="20">
        <v>17</v>
      </c>
      <c r="C17" s="29">
        <v>69</v>
      </c>
      <c r="D17" s="22" t="s">
        <v>30</v>
      </c>
      <c r="E17" s="22">
        <v>0</v>
      </c>
      <c r="F17" s="22">
        <v>1</v>
      </c>
      <c r="G17" s="22">
        <v>0</v>
      </c>
      <c r="H17" s="22">
        <v>0</v>
      </c>
      <c r="I17" s="22">
        <v>1</v>
      </c>
      <c r="J17" s="22">
        <v>0</v>
      </c>
      <c r="K17" s="22">
        <v>0</v>
      </c>
      <c r="L17" s="22">
        <v>0</v>
      </c>
      <c r="M17" s="22">
        <v>0</v>
      </c>
      <c r="N17" s="23">
        <v>44309.463194444397</v>
      </c>
      <c r="O17" s="23">
        <v>44313</v>
      </c>
      <c r="P17" s="24">
        <f t="shared" si="0"/>
        <v>4.5368055556027702</v>
      </c>
      <c r="Q17" s="20" t="s">
        <v>31</v>
      </c>
      <c r="R17" s="20" t="s">
        <v>31</v>
      </c>
      <c r="S17" s="20" t="s">
        <v>32</v>
      </c>
      <c r="T17" s="20">
        <v>46852.37</v>
      </c>
      <c r="U17" s="20" t="s">
        <v>40</v>
      </c>
      <c r="V17" s="25">
        <v>44311.471458333297</v>
      </c>
      <c r="W17" s="20" t="s">
        <v>42</v>
      </c>
      <c r="X17" s="20"/>
      <c r="Y17" s="26">
        <v>47.753611111315003</v>
      </c>
      <c r="Z17" s="22" t="s">
        <v>35</v>
      </c>
      <c r="AA17" s="27">
        <v>1</v>
      </c>
      <c r="AB17" s="27" t="s">
        <v>31</v>
      </c>
      <c r="AC17" s="28">
        <v>1</v>
      </c>
      <c r="AD17" s="28" t="s">
        <v>31</v>
      </c>
    </row>
    <row r="18" spans="1:30" ht="14.55" customHeight="1" x14ac:dyDescent="0.4">
      <c r="A18" s="20">
        <v>1</v>
      </c>
      <c r="B18" s="20">
        <v>18</v>
      </c>
      <c r="C18" s="29">
        <v>58</v>
      </c>
      <c r="D18" s="22" t="s">
        <v>38</v>
      </c>
      <c r="E18" s="22">
        <v>0</v>
      </c>
      <c r="F18" s="22">
        <v>1</v>
      </c>
      <c r="G18" s="22">
        <v>0</v>
      </c>
      <c r="H18" s="22">
        <v>1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3">
        <v>44421.588194444397</v>
      </c>
      <c r="O18" s="23">
        <v>44436</v>
      </c>
      <c r="P18" s="24">
        <f t="shared" si="0"/>
        <v>15.4118055556028</v>
      </c>
      <c r="Q18" s="20" t="s">
        <v>31</v>
      </c>
      <c r="R18" s="20" t="s">
        <v>31</v>
      </c>
      <c r="S18" s="20" t="s">
        <v>32</v>
      </c>
      <c r="T18" s="26">
        <v>16711.400000000001</v>
      </c>
      <c r="U18" s="20" t="s">
        <v>39</v>
      </c>
      <c r="V18" s="25">
        <v>44426.484606481499</v>
      </c>
      <c r="W18" s="20" t="s">
        <v>34</v>
      </c>
      <c r="X18" s="20"/>
      <c r="Y18" s="26">
        <v>239.21694444475</v>
      </c>
      <c r="Z18" s="22" t="s">
        <v>35</v>
      </c>
      <c r="AA18" s="27" t="s">
        <v>34</v>
      </c>
      <c r="AB18" s="27" t="s">
        <v>31</v>
      </c>
      <c r="AC18" s="28" t="s">
        <v>31</v>
      </c>
      <c r="AD18" s="28" t="s">
        <v>31</v>
      </c>
    </row>
    <row r="19" spans="1:30" ht="14.55" customHeight="1" x14ac:dyDescent="0.4">
      <c r="A19" s="20">
        <v>1</v>
      </c>
      <c r="B19" s="20">
        <v>19</v>
      </c>
      <c r="C19" s="29">
        <v>63</v>
      </c>
      <c r="D19" s="22" t="s">
        <v>30</v>
      </c>
      <c r="E19" s="22">
        <v>0</v>
      </c>
      <c r="F19" s="22">
        <v>1</v>
      </c>
      <c r="G19" s="22">
        <v>0</v>
      </c>
      <c r="H19" s="22">
        <v>0</v>
      </c>
      <c r="I19" s="22">
        <v>1</v>
      </c>
      <c r="J19" s="22">
        <v>0</v>
      </c>
      <c r="K19" s="22">
        <v>1</v>
      </c>
      <c r="L19" s="22">
        <v>0</v>
      </c>
      <c r="M19" s="22">
        <v>0</v>
      </c>
      <c r="N19" s="23">
        <v>44446.676388888904</v>
      </c>
      <c r="O19" s="23">
        <v>44464</v>
      </c>
      <c r="P19" s="24">
        <f t="shared" si="0"/>
        <v>18.323611111096401</v>
      </c>
      <c r="Q19" s="20" t="s">
        <v>31</v>
      </c>
      <c r="R19" s="20" t="s">
        <v>31</v>
      </c>
      <c r="S19" s="20" t="s">
        <v>32</v>
      </c>
      <c r="T19" s="20">
        <v>27253.75</v>
      </c>
      <c r="U19" s="20" t="s">
        <v>36</v>
      </c>
      <c r="V19" s="25">
        <v>44456.527777777803</v>
      </c>
      <c r="W19" s="20" t="s">
        <v>34</v>
      </c>
      <c r="X19" s="20"/>
      <c r="Y19" s="26">
        <v>237.42888888961201</v>
      </c>
      <c r="Z19" s="22" t="s">
        <v>35</v>
      </c>
      <c r="AA19" s="27" t="s">
        <v>34</v>
      </c>
      <c r="AB19" s="27" t="s">
        <v>31</v>
      </c>
      <c r="AC19" s="28" t="s">
        <v>31</v>
      </c>
      <c r="AD19" s="28" t="s">
        <v>31</v>
      </c>
    </row>
    <row r="20" spans="1:30" ht="14.55" customHeight="1" x14ac:dyDescent="0.4">
      <c r="A20" s="20">
        <v>1</v>
      </c>
      <c r="B20" s="20">
        <v>20</v>
      </c>
      <c r="C20" s="29">
        <v>68</v>
      </c>
      <c r="D20" s="22" t="s">
        <v>30</v>
      </c>
      <c r="E20" s="22">
        <v>0</v>
      </c>
      <c r="F20" s="22">
        <v>0</v>
      </c>
      <c r="G20" s="22">
        <v>0</v>
      </c>
      <c r="H20" s="22">
        <v>1</v>
      </c>
      <c r="I20" s="22">
        <v>0</v>
      </c>
      <c r="J20" s="22">
        <v>0</v>
      </c>
      <c r="K20" s="22">
        <v>1</v>
      </c>
      <c r="L20" s="22">
        <v>0</v>
      </c>
      <c r="M20" s="22">
        <v>0</v>
      </c>
      <c r="N20" s="23">
        <v>44256.625</v>
      </c>
      <c r="O20" s="23">
        <v>44264</v>
      </c>
      <c r="P20" s="24">
        <f t="shared" si="0"/>
        <v>8.375</v>
      </c>
      <c r="Q20" s="20" t="s">
        <v>31</v>
      </c>
      <c r="R20" s="20" t="s">
        <v>31</v>
      </c>
      <c r="S20" s="20" t="s">
        <v>32</v>
      </c>
      <c r="T20" s="20">
        <v>13443.19</v>
      </c>
      <c r="U20" s="20" t="s">
        <v>39</v>
      </c>
      <c r="V20" s="25">
        <v>44258.475729166697</v>
      </c>
      <c r="W20" s="20" t="s">
        <v>34</v>
      </c>
      <c r="X20" s="20"/>
      <c r="Y20" s="26">
        <v>46.553611111245097</v>
      </c>
      <c r="Z20" s="22" t="s">
        <v>35</v>
      </c>
      <c r="AA20" s="27" t="s">
        <v>34</v>
      </c>
      <c r="AB20" s="27" t="s">
        <v>31</v>
      </c>
      <c r="AC20" s="28" t="s">
        <v>31</v>
      </c>
      <c r="AD20" s="28" t="s">
        <v>31</v>
      </c>
    </row>
    <row r="21" spans="1:30" ht="14.55" customHeight="1" x14ac:dyDescent="0.4">
      <c r="A21" s="20">
        <v>1</v>
      </c>
      <c r="B21" s="20">
        <v>21</v>
      </c>
      <c r="C21" s="29">
        <v>55</v>
      </c>
      <c r="D21" s="22" t="s">
        <v>38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3">
        <v>44115.605555555601</v>
      </c>
      <c r="O21" s="23">
        <v>44120</v>
      </c>
      <c r="P21" s="24">
        <f t="shared" si="0"/>
        <v>5.3944444443986903</v>
      </c>
      <c r="Q21" s="20" t="s">
        <v>31</v>
      </c>
      <c r="R21" s="20" t="s">
        <v>31</v>
      </c>
      <c r="S21" s="22" t="s">
        <v>32</v>
      </c>
      <c r="T21" s="20">
        <v>6194.14</v>
      </c>
      <c r="U21" s="22" t="s">
        <v>36</v>
      </c>
      <c r="V21" s="25">
        <v>44117.491597222201</v>
      </c>
      <c r="W21" s="20" t="s">
        <v>43</v>
      </c>
      <c r="X21" s="20"/>
      <c r="Y21" s="26">
        <v>149.66611111199001</v>
      </c>
      <c r="Z21" s="22" t="s">
        <v>35</v>
      </c>
      <c r="AA21" s="27">
        <v>1</v>
      </c>
      <c r="AB21" s="27" t="s">
        <v>31</v>
      </c>
      <c r="AC21" s="28">
        <v>1</v>
      </c>
      <c r="AD21" s="28" t="s">
        <v>31</v>
      </c>
    </row>
    <row r="22" spans="1:30" ht="14.55" customHeight="1" x14ac:dyDescent="0.4">
      <c r="A22" s="20">
        <v>1</v>
      </c>
      <c r="B22" s="20">
        <v>22</v>
      </c>
      <c r="C22" s="29">
        <v>67</v>
      </c>
      <c r="D22" s="22" t="s">
        <v>38</v>
      </c>
      <c r="E22" s="22">
        <v>0</v>
      </c>
      <c r="F22" s="22">
        <v>1</v>
      </c>
      <c r="G22" s="22">
        <v>0</v>
      </c>
      <c r="H22" s="22">
        <v>1</v>
      </c>
      <c r="I22" s="22">
        <v>1</v>
      </c>
      <c r="J22" s="22">
        <v>0</v>
      </c>
      <c r="K22" s="22">
        <v>0</v>
      </c>
      <c r="L22" s="22">
        <v>0</v>
      </c>
      <c r="M22" s="22">
        <v>0</v>
      </c>
      <c r="N22" s="23">
        <v>43932.604861111096</v>
      </c>
      <c r="O22" s="23">
        <v>43938</v>
      </c>
      <c r="P22" s="24">
        <f t="shared" si="0"/>
        <v>6.3951388889035998</v>
      </c>
      <c r="Q22" s="20" t="s">
        <v>31</v>
      </c>
      <c r="R22" s="20" t="s">
        <v>31</v>
      </c>
      <c r="S22" s="20" t="s">
        <v>32</v>
      </c>
      <c r="T22" s="20">
        <v>9052.26</v>
      </c>
      <c r="U22" s="20" t="s">
        <v>39</v>
      </c>
      <c r="V22" s="25">
        <v>43936.485115740703</v>
      </c>
      <c r="W22" s="20" t="s">
        <v>34</v>
      </c>
      <c r="X22" s="20"/>
      <c r="Y22" s="26">
        <v>47.234999999986002</v>
      </c>
      <c r="Z22" s="22" t="s">
        <v>35</v>
      </c>
      <c r="AA22" s="27" t="s">
        <v>34</v>
      </c>
      <c r="AB22" s="27" t="s">
        <v>31</v>
      </c>
      <c r="AC22" s="28" t="s">
        <v>31</v>
      </c>
      <c r="AD22" s="28" t="s">
        <v>31</v>
      </c>
    </row>
    <row r="23" spans="1:30" ht="14.55" customHeight="1" x14ac:dyDescent="0.4">
      <c r="A23" s="20">
        <v>1</v>
      </c>
      <c r="B23" s="20">
        <v>23</v>
      </c>
      <c r="C23" s="29">
        <v>66</v>
      </c>
      <c r="D23" s="22" t="s">
        <v>38</v>
      </c>
      <c r="E23" s="22">
        <v>0</v>
      </c>
      <c r="F23" s="22">
        <v>1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1</v>
      </c>
      <c r="N23" s="23">
        <v>44536.664583333302</v>
      </c>
      <c r="O23" s="23">
        <v>44546</v>
      </c>
      <c r="P23" s="24">
        <f t="shared" si="0"/>
        <v>10.3354166666977</v>
      </c>
      <c r="Q23" s="20" t="s">
        <v>31</v>
      </c>
      <c r="R23" s="20" t="s">
        <v>31</v>
      </c>
      <c r="S23" s="20" t="s">
        <v>32</v>
      </c>
      <c r="T23" s="20">
        <v>11946.15</v>
      </c>
      <c r="U23" s="20" t="s">
        <v>39</v>
      </c>
      <c r="V23" s="25">
        <v>44540.439861111103</v>
      </c>
      <c r="W23" s="20" t="s">
        <v>34</v>
      </c>
      <c r="X23" s="20"/>
      <c r="Y23" s="26">
        <v>48.943888888810797</v>
      </c>
      <c r="Z23" s="22" t="s">
        <v>35</v>
      </c>
      <c r="AA23" s="27" t="s">
        <v>34</v>
      </c>
      <c r="AB23" s="27" t="s">
        <v>31</v>
      </c>
      <c r="AC23" s="28" t="s">
        <v>31</v>
      </c>
      <c r="AD23" s="28" t="s">
        <v>31</v>
      </c>
    </row>
    <row r="24" spans="1:30" ht="14.55" customHeight="1" x14ac:dyDescent="0.4">
      <c r="A24" s="20">
        <v>1</v>
      </c>
      <c r="B24" s="20">
        <v>25</v>
      </c>
      <c r="C24" s="29">
        <v>57</v>
      </c>
      <c r="D24" s="22" t="s">
        <v>38</v>
      </c>
      <c r="E24" s="22">
        <v>1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3">
        <v>44420.707638888904</v>
      </c>
      <c r="O24" s="23">
        <v>44455</v>
      </c>
      <c r="P24" s="24">
        <f t="shared" si="0"/>
        <v>35.292361111096398</v>
      </c>
      <c r="Q24" s="20" t="s">
        <v>31</v>
      </c>
      <c r="R24" s="20" t="s">
        <v>31</v>
      </c>
      <c r="S24" s="20" t="s">
        <v>32</v>
      </c>
      <c r="T24" s="20">
        <v>43762.559999999998</v>
      </c>
      <c r="U24" s="20" t="s">
        <v>36</v>
      </c>
      <c r="V24" s="25">
        <v>44420.521828703699</v>
      </c>
      <c r="W24" s="20" t="s">
        <v>34</v>
      </c>
      <c r="X24" s="20"/>
      <c r="Y24" s="26">
        <v>48.009166668111</v>
      </c>
      <c r="Z24" s="22" t="s">
        <v>35</v>
      </c>
      <c r="AA24" s="27" t="s">
        <v>34</v>
      </c>
      <c r="AB24" s="27" t="s">
        <v>31</v>
      </c>
      <c r="AC24" s="28" t="s">
        <v>31</v>
      </c>
      <c r="AD24" s="28" t="s">
        <v>31</v>
      </c>
    </row>
    <row r="25" spans="1:30" ht="14.55" customHeight="1" x14ac:dyDescent="0.4">
      <c r="A25" s="20">
        <v>1</v>
      </c>
      <c r="B25" s="20">
        <v>26</v>
      </c>
      <c r="C25" s="29">
        <v>64</v>
      </c>
      <c r="D25" s="22" t="s">
        <v>38</v>
      </c>
      <c r="E25" s="22">
        <v>0</v>
      </c>
      <c r="F25" s="22">
        <v>1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3">
        <v>44081.677083333299</v>
      </c>
      <c r="O25" s="23">
        <v>44089</v>
      </c>
      <c r="P25" s="24">
        <f t="shared" si="0"/>
        <v>8.3229166667006194</v>
      </c>
      <c r="Q25" s="20" t="s">
        <v>31</v>
      </c>
      <c r="R25" s="20" t="s">
        <v>31</v>
      </c>
      <c r="S25" s="20" t="s">
        <v>32</v>
      </c>
      <c r="T25" s="20">
        <v>8187.56</v>
      </c>
      <c r="U25" s="20" t="s">
        <v>36</v>
      </c>
      <c r="V25" s="25">
        <v>44089.430370370399</v>
      </c>
      <c r="W25" s="20" t="s">
        <v>43</v>
      </c>
      <c r="X25" s="20"/>
      <c r="Y25" s="26">
        <v>171.703611110395</v>
      </c>
      <c r="Z25" s="22" t="s">
        <v>35</v>
      </c>
      <c r="AA25" s="27">
        <v>1</v>
      </c>
      <c r="AB25" s="27" t="s">
        <v>31</v>
      </c>
      <c r="AC25" s="28">
        <v>1</v>
      </c>
      <c r="AD25" s="28" t="s">
        <v>31</v>
      </c>
    </row>
    <row r="26" spans="1:30" ht="14.55" customHeight="1" x14ac:dyDescent="0.4">
      <c r="A26" s="20">
        <v>1</v>
      </c>
      <c r="B26" s="20">
        <v>27</v>
      </c>
      <c r="C26" s="29">
        <v>59</v>
      </c>
      <c r="D26" s="22" t="s">
        <v>38</v>
      </c>
      <c r="E26" s="22">
        <v>0</v>
      </c>
      <c r="F26" s="22">
        <v>1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3">
        <v>44157.637499999997</v>
      </c>
      <c r="O26" s="23">
        <v>44183</v>
      </c>
      <c r="P26" s="24">
        <f t="shared" si="0"/>
        <v>26.3625000000029</v>
      </c>
      <c r="Q26" s="20" t="s">
        <v>31</v>
      </c>
      <c r="R26" s="20" t="s">
        <v>31</v>
      </c>
      <c r="S26" s="20" t="s">
        <v>32</v>
      </c>
      <c r="T26" s="20">
        <v>56767.45</v>
      </c>
      <c r="U26" s="20" t="s">
        <v>39</v>
      </c>
      <c r="V26" s="25">
        <v>44167.498622685198</v>
      </c>
      <c r="W26" s="20" t="s">
        <v>34</v>
      </c>
      <c r="X26" s="20"/>
      <c r="Y26" s="26">
        <v>214.41888888966099</v>
      </c>
      <c r="Z26" s="22" t="s">
        <v>35</v>
      </c>
      <c r="AA26" s="27" t="s">
        <v>34</v>
      </c>
      <c r="AB26" s="27" t="s">
        <v>31</v>
      </c>
      <c r="AC26" s="28" t="s">
        <v>31</v>
      </c>
      <c r="AD26" s="28" t="s">
        <v>31</v>
      </c>
    </row>
    <row r="27" spans="1:30" ht="14.55" customHeight="1" x14ac:dyDescent="0.4">
      <c r="A27" s="20">
        <v>1</v>
      </c>
      <c r="B27" s="20">
        <v>28</v>
      </c>
      <c r="C27" s="29">
        <v>68</v>
      </c>
      <c r="D27" s="22" t="s">
        <v>30</v>
      </c>
      <c r="E27" s="22">
        <v>1</v>
      </c>
      <c r="F27" s="22">
        <v>1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3">
        <v>43973.689583333296</v>
      </c>
      <c r="O27" s="23">
        <v>43997</v>
      </c>
      <c r="P27" s="24">
        <f t="shared" si="0"/>
        <v>24.3104166667035</v>
      </c>
      <c r="Q27" s="20" t="s">
        <v>31</v>
      </c>
      <c r="R27" s="20" t="s">
        <v>31</v>
      </c>
      <c r="S27" s="20" t="s">
        <v>32</v>
      </c>
      <c r="T27" s="20">
        <v>39105.53</v>
      </c>
      <c r="U27" s="20" t="s">
        <v>39</v>
      </c>
      <c r="V27" s="25">
        <v>43979.494629629597</v>
      </c>
      <c r="W27" s="20" t="s">
        <v>34</v>
      </c>
      <c r="X27" s="20"/>
      <c r="Y27" s="26">
        <v>50.451388888817696</v>
      </c>
      <c r="Z27" s="22" t="s">
        <v>35</v>
      </c>
      <c r="AA27" s="27" t="s">
        <v>34</v>
      </c>
      <c r="AB27" s="27" t="s">
        <v>31</v>
      </c>
      <c r="AC27" s="28" t="s">
        <v>31</v>
      </c>
      <c r="AD27" s="28" t="s">
        <v>31</v>
      </c>
    </row>
    <row r="28" spans="1:30" ht="14.55" customHeight="1" x14ac:dyDescent="0.4">
      <c r="A28" s="20">
        <v>1</v>
      </c>
      <c r="B28" s="20">
        <v>29</v>
      </c>
      <c r="C28" s="29">
        <v>57</v>
      </c>
      <c r="D28" s="22" t="s">
        <v>38</v>
      </c>
      <c r="E28" s="22">
        <v>0</v>
      </c>
      <c r="F28" s="22">
        <v>1</v>
      </c>
      <c r="G28" s="22">
        <v>0</v>
      </c>
      <c r="H28" s="22">
        <v>1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3">
        <v>44536.620833333298</v>
      </c>
      <c r="O28" s="23">
        <v>44554</v>
      </c>
      <c r="P28" s="24">
        <f t="shared" si="0"/>
        <v>18.379166666702101</v>
      </c>
      <c r="Q28" s="20" t="s">
        <v>31</v>
      </c>
      <c r="R28" s="20" t="s">
        <v>31</v>
      </c>
      <c r="S28" s="20" t="s">
        <v>32</v>
      </c>
      <c r="T28" s="20">
        <v>22109.79</v>
      </c>
      <c r="U28" s="20" t="s">
        <v>36</v>
      </c>
      <c r="V28" s="25">
        <v>44545.690046296302</v>
      </c>
      <c r="W28" s="20" t="s">
        <v>34</v>
      </c>
      <c r="X28" s="20"/>
      <c r="Y28" s="26">
        <v>42.753055555222097</v>
      </c>
      <c r="Z28" s="22" t="s">
        <v>35</v>
      </c>
      <c r="AA28" s="27" t="s">
        <v>34</v>
      </c>
      <c r="AB28" s="27" t="s">
        <v>31</v>
      </c>
      <c r="AC28" s="28" t="s">
        <v>31</v>
      </c>
      <c r="AD28" s="28" t="s">
        <v>31</v>
      </c>
    </row>
    <row r="29" spans="1:30" ht="14.55" customHeight="1" x14ac:dyDescent="0.4">
      <c r="A29" s="20">
        <v>1</v>
      </c>
      <c r="B29" s="20">
        <v>30</v>
      </c>
      <c r="C29" s="29">
        <v>69</v>
      </c>
      <c r="D29" s="22" t="s">
        <v>38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3">
        <v>43968.650694444397</v>
      </c>
      <c r="O29" s="23">
        <v>43983</v>
      </c>
      <c r="P29" s="24">
        <f t="shared" si="0"/>
        <v>15.3493055556028</v>
      </c>
      <c r="Q29" s="20" t="s">
        <v>31</v>
      </c>
      <c r="R29" s="20" t="s">
        <v>31</v>
      </c>
      <c r="S29" s="20" t="s">
        <v>32</v>
      </c>
      <c r="T29" s="20">
        <v>12769.67</v>
      </c>
      <c r="U29" s="20" t="s">
        <v>39</v>
      </c>
      <c r="V29" s="25">
        <v>43972.5255555556</v>
      </c>
      <c r="W29" s="20" t="s">
        <v>34</v>
      </c>
      <c r="X29" s="20"/>
      <c r="Y29" s="26">
        <v>45.114999998419101</v>
      </c>
      <c r="Z29" s="22" t="s">
        <v>35</v>
      </c>
      <c r="AA29" s="27" t="s">
        <v>34</v>
      </c>
      <c r="AB29" s="27" t="s">
        <v>31</v>
      </c>
      <c r="AC29" s="28" t="s">
        <v>31</v>
      </c>
      <c r="AD29" s="28" t="s">
        <v>31</v>
      </c>
    </row>
    <row r="30" spans="1:30" ht="14.55" customHeight="1" x14ac:dyDescent="0.4">
      <c r="A30" s="20">
        <v>1</v>
      </c>
      <c r="B30" s="20">
        <v>31</v>
      </c>
      <c r="C30" s="29">
        <v>57</v>
      </c>
      <c r="D30" s="22" t="s">
        <v>30</v>
      </c>
      <c r="E30" s="22">
        <v>0</v>
      </c>
      <c r="F30" s="22">
        <v>1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3">
        <v>43945.600694444402</v>
      </c>
      <c r="O30" s="23">
        <v>43955</v>
      </c>
      <c r="P30" s="24">
        <f t="shared" si="0"/>
        <v>10.399305555598399</v>
      </c>
      <c r="Q30" s="20" t="s">
        <v>31</v>
      </c>
      <c r="R30" s="20" t="s">
        <v>31</v>
      </c>
      <c r="S30" s="20" t="s">
        <v>32</v>
      </c>
      <c r="T30" s="20">
        <v>8259.69</v>
      </c>
      <c r="U30" s="20" t="s">
        <v>33</v>
      </c>
      <c r="V30" s="25">
        <v>43950.493067129602</v>
      </c>
      <c r="W30" s="20" t="s">
        <v>41</v>
      </c>
      <c r="X30" s="20"/>
      <c r="Y30" s="26">
        <v>69.726388888782793</v>
      </c>
      <c r="Z30" s="22" t="s">
        <v>35</v>
      </c>
      <c r="AA30" s="27">
        <v>1</v>
      </c>
      <c r="AB30" s="27" t="s">
        <v>31</v>
      </c>
      <c r="AC30" s="28">
        <v>1</v>
      </c>
      <c r="AD30" s="28" t="s">
        <v>31</v>
      </c>
    </row>
    <row r="31" spans="1:30" ht="14.55" customHeight="1" x14ac:dyDescent="0.4">
      <c r="A31" s="20">
        <v>1</v>
      </c>
      <c r="B31" s="20">
        <v>32</v>
      </c>
      <c r="C31" s="29">
        <v>69</v>
      </c>
      <c r="D31" s="22" t="s">
        <v>30</v>
      </c>
      <c r="E31" s="22">
        <v>0</v>
      </c>
      <c r="F31" s="22">
        <v>1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3">
        <v>44518.613194444399</v>
      </c>
      <c r="O31" s="23">
        <v>44524</v>
      </c>
      <c r="P31" s="24">
        <f t="shared" si="0"/>
        <v>6.3868055556013097</v>
      </c>
      <c r="Q31" s="20" t="s">
        <v>31</v>
      </c>
      <c r="R31" s="20" t="s">
        <v>31</v>
      </c>
      <c r="S31" s="20" t="s">
        <v>32</v>
      </c>
      <c r="T31" s="20">
        <v>7429.18</v>
      </c>
      <c r="U31" s="20" t="s">
        <v>36</v>
      </c>
      <c r="V31" s="25">
        <v>44523.488530092603</v>
      </c>
      <c r="W31" s="20" t="s">
        <v>44</v>
      </c>
      <c r="X31" s="20"/>
      <c r="Y31" s="26">
        <v>69.359166667156401</v>
      </c>
      <c r="Z31" s="22" t="s">
        <v>35</v>
      </c>
      <c r="AA31" s="27">
        <v>1</v>
      </c>
      <c r="AB31" s="27" t="s">
        <v>31</v>
      </c>
      <c r="AC31" s="28">
        <v>1</v>
      </c>
      <c r="AD31" s="28" t="s">
        <v>31</v>
      </c>
    </row>
    <row r="32" spans="1:30" ht="14.55" customHeight="1" x14ac:dyDescent="0.4">
      <c r="A32" s="20">
        <v>1</v>
      </c>
      <c r="B32" s="20">
        <v>33</v>
      </c>
      <c r="C32" s="29">
        <v>55</v>
      </c>
      <c r="D32" s="22" t="s">
        <v>38</v>
      </c>
      <c r="E32" s="22">
        <v>1</v>
      </c>
      <c r="F32" s="22">
        <v>1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3">
        <v>44131.838194444397</v>
      </c>
      <c r="O32" s="23">
        <v>44144</v>
      </c>
      <c r="P32" s="24">
        <f t="shared" si="0"/>
        <v>13.1618055556028</v>
      </c>
      <c r="Q32" s="20" t="s">
        <v>31</v>
      </c>
      <c r="R32" s="20" t="s">
        <v>31</v>
      </c>
      <c r="S32" s="20" t="s">
        <v>32</v>
      </c>
      <c r="T32" s="26">
        <v>210163.5</v>
      </c>
      <c r="U32" s="20" t="s">
        <v>36</v>
      </c>
      <c r="V32" s="25">
        <v>44134.461898148104</v>
      </c>
      <c r="W32" s="20" t="s">
        <v>34</v>
      </c>
      <c r="X32" s="20"/>
      <c r="Y32" s="26">
        <v>48.395833334361697</v>
      </c>
      <c r="Z32" s="22" t="s">
        <v>35</v>
      </c>
      <c r="AA32" s="27" t="s">
        <v>34</v>
      </c>
      <c r="AB32" s="27" t="s">
        <v>31</v>
      </c>
      <c r="AC32" s="28" t="s">
        <v>31</v>
      </c>
      <c r="AD32" s="28" t="s">
        <v>31</v>
      </c>
    </row>
    <row r="33" spans="1:30" ht="14.55" customHeight="1" x14ac:dyDescent="0.4">
      <c r="A33" s="20">
        <v>1</v>
      </c>
      <c r="B33" s="20">
        <v>34</v>
      </c>
      <c r="C33" s="29">
        <v>59</v>
      </c>
      <c r="D33" s="22" t="s">
        <v>30</v>
      </c>
      <c r="E33" s="22">
        <v>0</v>
      </c>
      <c r="F33" s="22">
        <v>1</v>
      </c>
      <c r="G33" s="22">
        <v>0</v>
      </c>
      <c r="H33" s="22">
        <v>1</v>
      </c>
      <c r="I33" s="22">
        <v>1</v>
      </c>
      <c r="J33" s="22">
        <v>0</v>
      </c>
      <c r="K33" s="22">
        <v>0</v>
      </c>
      <c r="L33" s="22">
        <v>0</v>
      </c>
      <c r="M33" s="22">
        <v>0</v>
      </c>
      <c r="N33" s="23">
        <v>43936.676388888904</v>
      </c>
      <c r="O33" s="23">
        <v>43948</v>
      </c>
      <c r="P33" s="24">
        <f t="shared" si="0"/>
        <v>12.323611111096399</v>
      </c>
      <c r="Q33" s="20" t="s">
        <v>31</v>
      </c>
      <c r="R33" s="20" t="s">
        <v>31</v>
      </c>
      <c r="S33" s="20" t="s">
        <v>32</v>
      </c>
      <c r="T33" s="20">
        <v>12204.85</v>
      </c>
      <c r="U33" s="20" t="s">
        <v>39</v>
      </c>
      <c r="V33" s="25">
        <v>43943.4938541667</v>
      </c>
      <c r="W33" s="20" t="s">
        <v>34</v>
      </c>
      <c r="X33" s="20"/>
      <c r="Y33" s="26">
        <v>243.55027777684199</v>
      </c>
      <c r="Z33" s="22" t="s">
        <v>35</v>
      </c>
      <c r="AA33" s="27" t="s">
        <v>34</v>
      </c>
      <c r="AB33" s="27" t="s">
        <v>31</v>
      </c>
      <c r="AC33" s="28" t="s">
        <v>31</v>
      </c>
      <c r="AD33" s="28" t="s">
        <v>31</v>
      </c>
    </row>
    <row r="34" spans="1:30" ht="14.55" customHeight="1" x14ac:dyDescent="0.4">
      <c r="A34" s="20">
        <v>1</v>
      </c>
      <c r="B34" s="20">
        <v>35</v>
      </c>
      <c r="C34" s="29">
        <v>58</v>
      </c>
      <c r="D34" s="22" t="s">
        <v>38</v>
      </c>
      <c r="E34" s="22">
        <v>0</v>
      </c>
      <c r="F34" s="22">
        <v>1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3">
        <v>44407.5180555556</v>
      </c>
      <c r="O34" s="23">
        <v>44420</v>
      </c>
      <c r="P34" s="24">
        <f t="shared" si="0"/>
        <v>13.481944444400099</v>
      </c>
      <c r="Q34" s="20" t="s">
        <v>31</v>
      </c>
      <c r="R34" s="20" t="s">
        <v>31</v>
      </c>
      <c r="S34" s="20" t="s">
        <v>32</v>
      </c>
      <c r="T34" s="20">
        <v>40306.58</v>
      </c>
      <c r="U34" s="20" t="s">
        <v>36</v>
      </c>
      <c r="V34" s="25">
        <v>44414.428171296298</v>
      </c>
      <c r="W34" s="20" t="s">
        <v>34</v>
      </c>
      <c r="X34" s="20"/>
      <c r="Y34" s="26">
        <v>49.486944444011897</v>
      </c>
      <c r="Z34" s="22" t="s">
        <v>35</v>
      </c>
      <c r="AA34" s="27" t="s">
        <v>34</v>
      </c>
      <c r="AB34" s="27" t="s">
        <v>31</v>
      </c>
      <c r="AC34" s="28" t="s">
        <v>31</v>
      </c>
      <c r="AD34" s="28" t="s">
        <v>31</v>
      </c>
    </row>
    <row r="35" spans="1:30" ht="14.55" customHeight="1" x14ac:dyDescent="0.4">
      <c r="A35" s="20">
        <v>1</v>
      </c>
      <c r="B35" s="20">
        <v>36</v>
      </c>
      <c r="C35" s="29">
        <v>58</v>
      </c>
      <c r="D35" s="22" t="s">
        <v>38</v>
      </c>
      <c r="E35" s="22">
        <v>0</v>
      </c>
      <c r="F35" s="22">
        <v>0</v>
      </c>
      <c r="G35" s="22">
        <v>0</v>
      </c>
      <c r="H35" s="22">
        <v>1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3">
        <v>44398.594444444403</v>
      </c>
      <c r="O35" s="23">
        <v>44406</v>
      </c>
      <c r="P35" s="24">
        <f t="shared" si="0"/>
        <v>8.4055555555969494</v>
      </c>
      <c r="Q35" s="20" t="s">
        <v>31</v>
      </c>
      <c r="R35" s="20" t="s">
        <v>31</v>
      </c>
      <c r="S35" s="20" t="s">
        <v>32</v>
      </c>
      <c r="T35" s="26">
        <v>8941.1</v>
      </c>
      <c r="U35" s="20" t="s">
        <v>40</v>
      </c>
      <c r="V35" s="25">
        <v>44404.494768518503</v>
      </c>
      <c r="W35" s="20" t="s">
        <v>34</v>
      </c>
      <c r="X35" s="20"/>
      <c r="Y35" s="26">
        <v>45.694166666362399</v>
      </c>
      <c r="Z35" s="22" t="s">
        <v>35</v>
      </c>
      <c r="AA35" s="27" t="s">
        <v>34</v>
      </c>
      <c r="AB35" s="27" t="s">
        <v>31</v>
      </c>
      <c r="AC35" s="28" t="s">
        <v>31</v>
      </c>
      <c r="AD35" s="28" t="s">
        <v>31</v>
      </c>
    </row>
    <row r="36" spans="1:30" ht="14.55" customHeight="1" x14ac:dyDescent="0.4">
      <c r="A36" s="20">
        <v>1</v>
      </c>
      <c r="B36" s="20">
        <v>37</v>
      </c>
      <c r="C36" s="29">
        <v>65</v>
      </c>
      <c r="D36" s="22" t="s">
        <v>30</v>
      </c>
      <c r="E36" s="22">
        <v>0</v>
      </c>
      <c r="F36" s="22">
        <v>1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3">
        <v>44211.625694444403</v>
      </c>
      <c r="O36" s="23">
        <v>44229</v>
      </c>
      <c r="P36" s="24">
        <f t="shared" si="0"/>
        <v>18.374305555596901</v>
      </c>
      <c r="Q36" s="20" t="s">
        <v>31</v>
      </c>
      <c r="R36" s="20" t="s">
        <v>31</v>
      </c>
      <c r="S36" s="20" t="s">
        <v>32</v>
      </c>
      <c r="T36" s="20">
        <v>97079.23</v>
      </c>
      <c r="U36" s="20" t="s">
        <v>36</v>
      </c>
      <c r="V36" s="25">
        <v>44215.487812500003</v>
      </c>
      <c r="W36" s="20" t="s">
        <v>34</v>
      </c>
      <c r="X36" s="20"/>
      <c r="Y36" s="26">
        <v>49.0347222215496</v>
      </c>
      <c r="Z36" s="22" t="s">
        <v>35</v>
      </c>
      <c r="AA36" s="27" t="s">
        <v>34</v>
      </c>
      <c r="AB36" s="27" t="s">
        <v>31</v>
      </c>
      <c r="AC36" s="28" t="s">
        <v>31</v>
      </c>
      <c r="AD36" s="28" t="s">
        <v>31</v>
      </c>
    </row>
    <row r="37" spans="1:30" ht="14.55" customHeight="1" x14ac:dyDescent="0.4">
      <c r="A37" s="20">
        <v>1</v>
      </c>
      <c r="B37" s="20">
        <v>38</v>
      </c>
      <c r="C37" s="29">
        <v>64</v>
      </c>
      <c r="D37" s="22" t="s">
        <v>30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3">
        <v>44390.626388888901</v>
      </c>
      <c r="O37" s="23">
        <v>44403</v>
      </c>
      <c r="P37" s="24">
        <f t="shared" si="0"/>
        <v>13.373611111099301</v>
      </c>
      <c r="Q37" s="20" t="s">
        <v>31</v>
      </c>
      <c r="R37" s="20" t="s">
        <v>31</v>
      </c>
      <c r="S37" s="20" t="s">
        <v>32</v>
      </c>
      <c r="T37" s="26">
        <v>11537.5</v>
      </c>
      <c r="U37" s="20" t="s">
        <v>39</v>
      </c>
      <c r="V37" s="25">
        <v>44393.524953703702</v>
      </c>
      <c r="W37" s="20" t="s">
        <v>34</v>
      </c>
      <c r="X37" s="20"/>
      <c r="Y37" s="26">
        <v>46.185833332710899</v>
      </c>
      <c r="Z37" s="22" t="s">
        <v>35</v>
      </c>
      <c r="AA37" s="27" t="s">
        <v>34</v>
      </c>
      <c r="AB37" s="27" t="s">
        <v>31</v>
      </c>
      <c r="AC37" s="28" t="s">
        <v>31</v>
      </c>
      <c r="AD37" s="28" t="s">
        <v>31</v>
      </c>
    </row>
    <row r="38" spans="1:30" ht="14.55" customHeight="1" x14ac:dyDescent="0.4">
      <c r="A38" s="20">
        <v>1</v>
      </c>
      <c r="B38" s="20">
        <v>39</v>
      </c>
      <c r="C38" s="29">
        <v>58</v>
      </c>
      <c r="D38" s="22" t="s">
        <v>30</v>
      </c>
      <c r="E38" s="22">
        <v>0</v>
      </c>
      <c r="F38" s="22">
        <v>0</v>
      </c>
      <c r="G38" s="22">
        <v>0</v>
      </c>
      <c r="H38" s="22">
        <v>1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3">
        <v>44124.597916666702</v>
      </c>
      <c r="O38" s="23">
        <v>44131</v>
      </c>
      <c r="P38" s="24">
        <f t="shared" si="0"/>
        <v>7.4020833332979201</v>
      </c>
      <c r="Q38" s="20" t="s">
        <v>31</v>
      </c>
      <c r="R38" s="20" t="s">
        <v>31</v>
      </c>
      <c r="S38" s="20" t="s">
        <v>32</v>
      </c>
      <c r="T38" s="20">
        <v>6202.23</v>
      </c>
      <c r="U38" s="20" t="s">
        <v>39</v>
      </c>
      <c r="V38" s="25">
        <v>44127.487754629597</v>
      </c>
      <c r="W38" s="20" t="s">
        <v>34</v>
      </c>
      <c r="X38" s="20"/>
      <c r="Y38" s="26">
        <v>243.409444444813</v>
      </c>
      <c r="Z38" s="22" t="s">
        <v>35</v>
      </c>
      <c r="AA38" s="27" t="s">
        <v>34</v>
      </c>
      <c r="AB38" s="27" t="s">
        <v>31</v>
      </c>
      <c r="AC38" s="28" t="s">
        <v>31</v>
      </c>
      <c r="AD38" s="28" t="s">
        <v>31</v>
      </c>
    </row>
    <row r="39" spans="1:30" ht="14.55" customHeight="1" x14ac:dyDescent="0.4">
      <c r="A39" s="20">
        <v>1</v>
      </c>
      <c r="B39" s="20">
        <v>40</v>
      </c>
      <c r="C39" s="29">
        <v>58</v>
      </c>
      <c r="D39" s="22" t="s">
        <v>30</v>
      </c>
      <c r="E39" s="22">
        <v>0</v>
      </c>
      <c r="F39" s="22">
        <v>1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3">
        <v>44533.588888888902</v>
      </c>
      <c r="O39" s="23">
        <v>44543</v>
      </c>
      <c r="P39" s="24">
        <f t="shared" si="0"/>
        <v>10.411111111097901</v>
      </c>
      <c r="Q39" s="20" t="s">
        <v>31</v>
      </c>
      <c r="R39" s="20" t="s">
        <v>31</v>
      </c>
      <c r="S39" s="20" t="s">
        <v>32</v>
      </c>
      <c r="T39" s="20">
        <v>10180.629999999999</v>
      </c>
      <c r="U39" s="20" t="s">
        <v>33</v>
      </c>
      <c r="V39" s="25">
        <v>44537.649988425903</v>
      </c>
      <c r="W39" s="20" t="s">
        <v>34</v>
      </c>
      <c r="X39" s="20"/>
      <c r="Y39" s="26">
        <v>1506.4075000007899</v>
      </c>
      <c r="Z39" s="22" t="s">
        <v>35</v>
      </c>
      <c r="AA39" s="27" t="s">
        <v>34</v>
      </c>
      <c r="AB39" s="27" t="s">
        <v>31</v>
      </c>
      <c r="AC39" s="28" t="s">
        <v>31</v>
      </c>
      <c r="AD39" s="28" t="s">
        <v>31</v>
      </c>
    </row>
    <row r="40" spans="1:30" ht="14.55" customHeight="1" x14ac:dyDescent="0.4">
      <c r="A40" s="20">
        <v>1</v>
      </c>
      <c r="B40" s="20">
        <v>41</v>
      </c>
      <c r="C40" s="29">
        <v>67</v>
      </c>
      <c r="D40" s="22" t="s">
        <v>38</v>
      </c>
      <c r="E40" s="22">
        <v>0</v>
      </c>
      <c r="F40" s="22">
        <v>1</v>
      </c>
      <c r="G40" s="22">
        <v>0</v>
      </c>
      <c r="H40" s="22">
        <v>1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3">
        <v>44075.624305555597</v>
      </c>
      <c r="O40" s="23">
        <v>44089</v>
      </c>
      <c r="P40" s="24">
        <f t="shared" si="0"/>
        <v>14.3756944444031</v>
      </c>
      <c r="Q40" s="20" t="s">
        <v>31</v>
      </c>
      <c r="R40" s="20" t="s">
        <v>31</v>
      </c>
      <c r="S40" s="22" t="s">
        <v>32</v>
      </c>
      <c r="T40" s="20">
        <v>14533.75</v>
      </c>
      <c r="U40" s="22" t="s">
        <v>36</v>
      </c>
      <c r="V40" s="25">
        <v>44081.492650462998</v>
      </c>
      <c r="W40" s="20" t="s">
        <v>45</v>
      </c>
      <c r="X40" s="20"/>
      <c r="Y40" s="26">
        <v>190.970833331987</v>
      </c>
      <c r="Z40" s="22" t="s">
        <v>35</v>
      </c>
      <c r="AA40" s="27">
        <v>1</v>
      </c>
      <c r="AB40" s="27" t="s">
        <v>31</v>
      </c>
      <c r="AC40" s="28">
        <v>1</v>
      </c>
      <c r="AD40" s="28" t="s">
        <v>31</v>
      </c>
    </row>
    <row r="41" spans="1:30" ht="14.55" customHeight="1" x14ac:dyDescent="0.4">
      <c r="A41" s="20">
        <v>1</v>
      </c>
      <c r="B41" s="20">
        <v>42</v>
      </c>
      <c r="C41" s="29">
        <v>62</v>
      </c>
      <c r="D41" s="22" t="s">
        <v>30</v>
      </c>
      <c r="E41" s="22">
        <v>0</v>
      </c>
      <c r="F41" s="22">
        <v>1</v>
      </c>
      <c r="G41" s="22">
        <v>0</v>
      </c>
      <c r="H41" s="22">
        <v>1</v>
      </c>
      <c r="I41" s="22">
        <v>0</v>
      </c>
      <c r="J41" s="22">
        <v>1</v>
      </c>
      <c r="K41" s="22">
        <v>0</v>
      </c>
      <c r="L41" s="22">
        <v>0</v>
      </c>
      <c r="M41" s="22">
        <v>0</v>
      </c>
      <c r="N41" s="23">
        <v>44537.640277777798</v>
      </c>
      <c r="O41" s="23">
        <v>44554</v>
      </c>
      <c r="P41" s="24">
        <f t="shared" si="0"/>
        <v>17.359722222201501</v>
      </c>
      <c r="Q41" s="20" t="s">
        <v>31</v>
      </c>
      <c r="R41" s="20" t="s">
        <v>31</v>
      </c>
      <c r="S41" s="20" t="s">
        <v>32</v>
      </c>
      <c r="T41" s="20">
        <v>20189.11</v>
      </c>
      <c r="U41" s="20" t="s">
        <v>36</v>
      </c>
      <c r="V41" s="25">
        <v>44543.4617013889</v>
      </c>
      <c r="W41" s="20" t="s">
        <v>34</v>
      </c>
      <c r="X41" s="20"/>
      <c r="Y41" s="26">
        <v>47.771388888009803</v>
      </c>
      <c r="Z41" s="22" t="s">
        <v>35</v>
      </c>
      <c r="AA41" s="27" t="s">
        <v>34</v>
      </c>
      <c r="AB41" s="27" t="s">
        <v>31</v>
      </c>
      <c r="AC41" s="28" t="s">
        <v>31</v>
      </c>
      <c r="AD41" s="28" t="s">
        <v>31</v>
      </c>
    </row>
    <row r="42" spans="1:30" ht="14.55" customHeight="1" x14ac:dyDescent="0.4">
      <c r="A42" s="20">
        <v>1</v>
      </c>
      <c r="B42" s="20">
        <v>43</v>
      </c>
      <c r="C42" s="29">
        <v>63</v>
      </c>
      <c r="D42" s="22" t="s">
        <v>38</v>
      </c>
      <c r="E42" s="22">
        <v>0</v>
      </c>
      <c r="F42" s="22">
        <v>0</v>
      </c>
      <c r="G42" s="22">
        <v>1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3">
        <v>44392.626388888901</v>
      </c>
      <c r="O42" s="23">
        <v>44403</v>
      </c>
      <c r="P42" s="24">
        <f t="shared" si="0"/>
        <v>11.373611111099301</v>
      </c>
      <c r="Q42" s="20" t="s">
        <v>31</v>
      </c>
      <c r="R42" s="20" t="s">
        <v>31</v>
      </c>
      <c r="S42" s="20" t="s">
        <v>32</v>
      </c>
      <c r="T42" s="20">
        <v>10226.99</v>
      </c>
      <c r="U42" s="20" t="s">
        <v>39</v>
      </c>
      <c r="V42" s="25">
        <v>44396.489930555603</v>
      </c>
      <c r="W42" s="20" t="s">
        <v>34</v>
      </c>
      <c r="X42" s="20"/>
      <c r="Y42" s="26">
        <v>47.3261111110914</v>
      </c>
      <c r="Z42" s="22" t="s">
        <v>35</v>
      </c>
      <c r="AA42" s="27" t="s">
        <v>34</v>
      </c>
      <c r="AB42" s="27" t="s">
        <v>31</v>
      </c>
      <c r="AC42" s="28" t="s">
        <v>31</v>
      </c>
      <c r="AD42" s="28" t="s">
        <v>31</v>
      </c>
    </row>
    <row r="43" spans="1:30" ht="14.55" customHeight="1" x14ac:dyDescent="0.4">
      <c r="A43" s="20">
        <v>1</v>
      </c>
      <c r="B43" s="20">
        <v>44</v>
      </c>
      <c r="C43" s="29">
        <v>67</v>
      </c>
      <c r="D43" s="22" t="s">
        <v>38</v>
      </c>
      <c r="E43" s="22">
        <v>0</v>
      </c>
      <c r="F43" s="22">
        <v>1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3">
        <v>44027.6</v>
      </c>
      <c r="O43" s="23">
        <v>44034</v>
      </c>
      <c r="P43" s="24">
        <f t="shared" si="0"/>
        <v>7.4000000000014596</v>
      </c>
      <c r="Q43" s="20" t="s">
        <v>31</v>
      </c>
      <c r="R43" s="20" t="s">
        <v>31</v>
      </c>
      <c r="S43" s="20" t="s">
        <v>32</v>
      </c>
      <c r="T43" s="20">
        <v>9727.09</v>
      </c>
      <c r="U43" s="20" t="s">
        <v>36</v>
      </c>
      <c r="V43" s="25">
        <v>44029.471307870401</v>
      </c>
      <c r="W43" s="20" t="s">
        <v>34</v>
      </c>
      <c r="X43" s="20"/>
      <c r="Y43" s="26">
        <v>239.89805555512399</v>
      </c>
      <c r="Z43" s="22" t="s">
        <v>35</v>
      </c>
      <c r="AA43" s="27" t="s">
        <v>34</v>
      </c>
      <c r="AB43" s="27" t="s">
        <v>31</v>
      </c>
      <c r="AC43" s="28" t="s">
        <v>31</v>
      </c>
      <c r="AD43" s="28" t="s">
        <v>31</v>
      </c>
    </row>
    <row r="44" spans="1:30" ht="14.55" customHeight="1" x14ac:dyDescent="0.4">
      <c r="A44" s="20">
        <v>1</v>
      </c>
      <c r="B44" s="20">
        <v>45</v>
      </c>
      <c r="C44" s="29">
        <v>65</v>
      </c>
      <c r="D44" s="22" t="s">
        <v>38</v>
      </c>
      <c r="E44" s="22">
        <v>0</v>
      </c>
      <c r="F44" s="22">
        <v>0</v>
      </c>
      <c r="G44" s="22">
        <v>0</v>
      </c>
      <c r="H44" s="22">
        <v>1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3">
        <v>43892.477083333302</v>
      </c>
      <c r="O44" s="23">
        <v>43959</v>
      </c>
      <c r="P44" s="24">
        <f t="shared" si="0"/>
        <v>67.522916666697697</v>
      </c>
      <c r="Q44" s="20" t="s">
        <v>31</v>
      </c>
      <c r="R44" s="20" t="s">
        <v>31</v>
      </c>
      <c r="S44" s="20" t="s">
        <v>32</v>
      </c>
      <c r="T44" s="20">
        <v>179248.93</v>
      </c>
      <c r="U44" s="20" t="s">
        <v>36</v>
      </c>
      <c r="V44" s="25">
        <v>43893.489062499997</v>
      </c>
      <c r="W44" s="20" t="s">
        <v>34</v>
      </c>
      <c r="X44" s="20"/>
      <c r="Y44" s="26">
        <v>47.666944444819798</v>
      </c>
      <c r="Z44" s="22" t="s">
        <v>35</v>
      </c>
      <c r="AA44" s="27" t="s">
        <v>34</v>
      </c>
      <c r="AB44" s="27" t="s">
        <v>31</v>
      </c>
      <c r="AC44" s="28" t="s">
        <v>31</v>
      </c>
      <c r="AD44" s="28" t="s">
        <v>31</v>
      </c>
    </row>
    <row r="45" spans="1:30" ht="14.55" customHeight="1" x14ac:dyDescent="0.4">
      <c r="A45" s="20">
        <v>1</v>
      </c>
      <c r="B45" s="20">
        <v>46</v>
      </c>
      <c r="C45" s="29">
        <v>67</v>
      </c>
      <c r="D45" s="22" t="s">
        <v>30</v>
      </c>
      <c r="E45" s="22">
        <v>0</v>
      </c>
      <c r="F45" s="22">
        <v>1</v>
      </c>
      <c r="G45" s="22">
        <v>0</v>
      </c>
      <c r="H45" s="22">
        <v>1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3">
        <v>43979.589583333298</v>
      </c>
      <c r="O45" s="23">
        <v>43992</v>
      </c>
      <c r="P45" s="24">
        <f t="shared" si="0"/>
        <v>13.410416666702099</v>
      </c>
      <c r="Q45" s="20" t="s">
        <v>31</v>
      </c>
      <c r="R45" s="20" t="s">
        <v>31</v>
      </c>
      <c r="S45" s="20" t="s">
        <v>32</v>
      </c>
      <c r="T45" s="20">
        <v>13235.94</v>
      </c>
      <c r="U45" s="20" t="s">
        <v>36</v>
      </c>
      <c r="V45" s="25">
        <v>43984.4986921296</v>
      </c>
      <c r="W45" s="20" t="s">
        <v>34</v>
      </c>
      <c r="X45" s="20"/>
      <c r="Y45" s="26">
        <v>46.545000000041902</v>
      </c>
      <c r="Z45" s="22" t="s">
        <v>35</v>
      </c>
      <c r="AA45" s="27" t="s">
        <v>34</v>
      </c>
      <c r="AB45" s="27" t="s">
        <v>31</v>
      </c>
      <c r="AC45" s="28" t="s">
        <v>31</v>
      </c>
      <c r="AD45" s="28" t="s">
        <v>31</v>
      </c>
    </row>
    <row r="46" spans="1:30" ht="14.55" customHeight="1" x14ac:dyDescent="0.4">
      <c r="A46" s="20">
        <v>1</v>
      </c>
      <c r="B46" s="20">
        <v>47</v>
      </c>
      <c r="C46" s="29">
        <v>68</v>
      </c>
      <c r="D46" s="22" t="s">
        <v>30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3">
        <v>44068.617361111101</v>
      </c>
      <c r="O46" s="23">
        <v>44072</v>
      </c>
      <c r="P46" s="24">
        <f t="shared" si="0"/>
        <v>4.3826388888992396</v>
      </c>
      <c r="Q46" s="20" t="s">
        <v>31</v>
      </c>
      <c r="R46" s="20" t="s">
        <v>31</v>
      </c>
      <c r="S46" s="20" t="s">
        <v>32</v>
      </c>
      <c r="T46" s="26">
        <v>9826.1</v>
      </c>
      <c r="U46" s="20" t="s">
        <v>36</v>
      </c>
      <c r="V46" s="25">
        <v>44071.430034722202</v>
      </c>
      <c r="W46" s="20" t="s">
        <v>34</v>
      </c>
      <c r="X46" s="20"/>
      <c r="Y46" s="26">
        <v>247.41027777828299</v>
      </c>
      <c r="Z46" s="22" t="s">
        <v>35</v>
      </c>
      <c r="AA46" s="27" t="s">
        <v>34</v>
      </c>
      <c r="AB46" s="27" t="s">
        <v>31</v>
      </c>
      <c r="AC46" s="28" t="s">
        <v>31</v>
      </c>
      <c r="AD46" s="28" t="s">
        <v>31</v>
      </c>
    </row>
    <row r="47" spans="1:30" ht="14.55" customHeight="1" x14ac:dyDescent="0.4">
      <c r="A47" s="20">
        <v>1</v>
      </c>
      <c r="B47" s="20">
        <v>48</v>
      </c>
      <c r="C47" s="29">
        <v>55</v>
      </c>
      <c r="D47" s="22" t="s">
        <v>30</v>
      </c>
      <c r="E47" s="22">
        <v>0</v>
      </c>
      <c r="F47" s="22">
        <v>1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3">
        <v>44208.602083333302</v>
      </c>
      <c r="O47" s="23">
        <v>44214</v>
      </c>
      <c r="P47" s="24">
        <f t="shared" si="0"/>
        <v>6.3979166666977099</v>
      </c>
      <c r="Q47" s="20" t="s">
        <v>31</v>
      </c>
      <c r="R47" s="20" t="s">
        <v>31</v>
      </c>
      <c r="S47" s="22" t="s">
        <v>32</v>
      </c>
      <c r="T47" s="20">
        <v>9335.14</v>
      </c>
      <c r="U47" s="22" t="s">
        <v>39</v>
      </c>
      <c r="V47" s="25">
        <v>44211.485405092601</v>
      </c>
      <c r="W47" s="20" t="s">
        <v>43</v>
      </c>
      <c r="X47" s="20"/>
      <c r="Y47" s="26">
        <v>166.78916666633401</v>
      </c>
      <c r="Z47" s="22" t="s">
        <v>35</v>
      </c>
      <c r="AA47" s="27">
        <v>1</v>
      </c>
      <c r="AB47" s="27" t="s">
        <v>31</v>
      </c>
      <c r="AC47" s="28">
        <v>1</v>
      </c>
      <c r="AD47" s="28" t="s">
        <v>31</v>
      </c>
    </row>
    <row r="48" spans="1:30" ht="14.55" customHeight="1" x14ac:dyDescent="0.4">
      <c r="A48" s="20">
        <v>1</v>
      </c>
      <c r="B48" s="20">
        <v>49</v>
      </c>
      <c r="C48" s="29">
        <v>62</v>
      </c>
      <c r="D48" s="22" t="s">
        <v>38</v>
      </c>
      <c r="E48" s="22">
        <v>0</v>
      </c>
      <c r="F48" s="22">
        <v>1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3">
        <v>43977.398611111101</v>
      </c>
      <c r="O48" s="23">
        <v>43987</v>
      </c>
      <c r="P48" s="24">
        <f t="shared" si="0"/>
        <v>10.6013888888992</v>
      </c>
      <c r="Q48" s="20" t="s">
        <v>31</v>
      </c>
      <c r="R48" s="20" t="s">
        <v>31</v>
      </c>
      <c r="S48" s="20" t="s">
        <v>32</v>
      </c>
      <c r="T48" s="26">
        <v>12804.6</v>
      </c>
      <c r="U48" s="20" t="s">
        <v>36</v>
      </c>
      <c r="V48" s="25">
        <v>43980.520486111098</v>
      </c>
      <c r="W48" s="20" t="s">
        <v>34</v>
      </c>
      <c r="X48" s="20"/>
      <c r="Y48" s="26">
        <v>244.25833333446599</v>
      </c>
      <c r="Z48" s="22" t="s">
        <v>35</v>
      </c>
      <c r="AA48" s="27" t="s">
        <v>34</v>
      </c>
      <c r="AB48" s="27" t="s">
        <v>31</v>
      </c>
      <c r="AC48" s="28" t="s">
        <v>31</v>
      </c>
      <c r="AD48" s="28" t="s">
        <v>31</v>
      </c>
    </row>
    <row r="49" spans="1:30" ht="14.55" customHeight="1" x14ac:dyDescent="0.4">
      <c r="A49" s="20">
        <v>1</v>
      </c>
      <c r="B49" s="20">
        <v>50</v>
      </c>
      <c r="C49" s="29">
        <v>65</v>
      </c>
      <c r="D49" s="22" t="s">
        <v>30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3">
        <v>44076.587500000001</v>
      </c>
      <c r="O49" s="23">
        <v>44083</v>
      </c>
      <c r="P49" s="24">
        <f t="shared" si="0"/>
        <v>7.4124999999985404</v>
      </c>
      <c r="Q49" s="20" t="s">
        <v>31</v>
      </c>
      <c r="R49" s="20" t="s">
        <v>31</v>
      </c>
      <c r="S49" s="20" t="s">
        <v>32</v>
      </c>
      <c r="T49" s="20">
        <v>12311.47</v>
      </c>
      <c r="U49" s="20" t="s">
        <v>36</v>
      </c>
      <c r="V49" s="25">
        <v>44081.635543981502</v>
      </c>
      <c r="W49" s="20" t="s">
        <v>34</v>
      </c>
      <c r="X49" s="20"/>
      <c r="Y49" s="26">
        <v>234.45666666724699</v>
      </c>
      <c r="Z49" s="22" t="s">
        <v>35</v>
      </c>
      <c r="AA49" s="27" t="s">
        <v>34</v>
      </c>
      <c r="AB49" s="27" t="s">
        <v>31</v>
      </c>
      <c r="AC49" s="28" t="s">
        <v>31</v>
      </c>
      <c r="AD49" s="28" t="s">
        <v>31</v>
      </c>
    </row>
    <row r="50" spans="1:30" ht="14.55" customHeight="1" x14ac:dyDescent="0.4">
      <c r="A50" s="20">
        <v>1</v>
      </c>
      <c r="B50" s="20">
        <v>51</v>
      </c>
      <c r="C50" s="29">
        <v>61</v>
      </c>
      <c r="D50" s="22" t="s">
        <v>38</v>
      </c>
      <c r="E50" s="22">
        <v>0</v>
      </c>
      <c r="F50" s="22">
        <v>0</v>
      </c>
      <c r="G50" s="22">
        <v>0</v>
      </c>
      <c r="H50" s="22">
        <v>1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3">
        <v>43900.588194444397</v>
      </c>
      <c r="O50" s="23">
        <v>43907</v>
      </c>
      <c r="P50" s="24">
        <f t="shared" si="0"/>
        <v>7.4118055556027702</v>
      </c>
      <c r="Q50" s="20" t="s">
        <v>31</v>
      </c>
      <c r="R50" s="20" t="s">
        <v>31</v>
      </c>
      <c r="S50" s="20" t="s">
        <v>32</v>
      </c>
      <c r="T50" s="26">
        <v>8244.2000000000007</v>
      </c>
      <c r="U50" s="20" t="s">
        <v>36</v>
      </c>
      <c r="V50" s="25">
        <v>43906.450173611098</v>
      </c>
      <c r="W50" s="20" t="s">
        <v>34</v>
      </c>
      <c r="X50" s="20"/>
      <c r="Y50" s="26">
        <v>239.98972222331199</v>
      </c>
      <c r="Z50" s="22" t="s">
        <v>35</v>
      </c>
      <c r="AA50" s="27" t="s">
        <v>34</v>
      </c>
      <c r="AB50" s="27" t="s">
        <v>31</v>
      </c>
      <c r="AC50" s="28" t="s">
        <v>31</v>
      </c>
      <c r="AD50" s="28" t="s">
        <v>31</v>
      </c>
    </row>
    <row r="51" spans="1:30" ht="14.55" customHeight="1" x14ac:dyDescent="0.4">
      <c r="A51" s="20">
        <v>1</v>
      </c>
      <c r="B51" s="20">
        <v>52</v>
      </c>
      <c r="C51" s="29">
        <v>63</v>
      </c>
      <c r="D51" s="22" t="s">
        <v>38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3">
        <v>43913.617361111101</v>
      </c>
      <c r="O51" s="23">
        <v>43925</v>
      </c>
      <c r="P51" s="24">
        <f t="shared" si="0"/>
        <v>12.3826388888992</v>
      </c>
      <c r="Q51" s="20" t="s">
        <v>31</v>
      </c>
      <c r="R51" s="20" t="s">
        <v>31</v>
      </c>
      <c r="S51" s="20" t="s">
        <v>32</v>
      </c>
      <c r="T51" s="20">
        <v>18981.580000000002</v>
      </c>
      <c r="U51" s="20" t="s">
        <v>36</v>
      </c>
      <c r="V51" s="25">
        <v>43917.463981481502</v>
      </c>
      <c r="W51" s="20" t="s">
        <v>34</v>
      </c>
      <c r="X51" s="20"/>
      <c r="Y51" s="26">
        <v>48.864444443956003</v>
      </c>
      <c r="Z51" s="22" t="s">
        <v>35</v>
      </c>
      <c r="AA51" s="27" t="s">
        <v>34</v>
      </c>
      <c r="AB51" s="27" t="s">
        <v>31</v>
      </c>
      <c r="AC51" s="28" t="s">
        <v>31</v>
      </c>
      <c r="AD51" s="28" t="s">
        <v>31</v>
      </c>
    </row>
    <row r="52" spans="1:30" ht="14.55" customHeight="1" x14ac:dyDescent="0.4">
      <c r="A52" s="20">
        <v>1</v>
      </c>
      <c r="B52" s="20">
        <v>53</v>
      </c>
      <c r="C52" s="29">
        <v>56</v>
      </c>
      <c r="D52" s="22" t="s">
        <v>38</v>
      </c>
      <c r="E52" s="22">
        <v>0</v>
      </c>
      <c r="F52" s="22">
        <v>1</v>
      </c>
      <c r="G52" s="22">
        <v>1</v>
      </c>
      <c r="H52" s="22">
        <v>1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3">
        <v>43917.642361111102</v>
      </c>
      <c r="O52" s="23">
        <v>43923</v>
      </c>
      <c r="P52" s="24">
        <f t="shared" si="0"/>
        <v>6.3576388888977799</v>
      </c>
      <c r="Q52" s="20" t="s">
        <v>31</v>
      </c>
      <c r="R52" s="20" t="s">
        <v>31</v>
      </c>
      <c r="S52" s="20" t="s">
        <v>32</v>
      </c>
      <c r="T52" s="20">
        <v>8439.02</v>
      </c>
      <c r="U52" s="20" t="s">
        <v>39</v>
      </c>
      <c r="V52" s="25">
        <v>43920.496180555601</v>
      </c>
      <c r="W52" s="20" t="s">
        <v>34</v>
      </c>
      <c r="X52" s="20"/>
      <c r="Y52" s="26">
        <v>45.123888887988898</v>
      </c>
      <c r="Z52" s="22" t="s">
        <v>35</v>
      </c>
      <c r="AA52" s="27" t="s">
        <v>34</v>
      </c>
      <c r="AB52" s="27" t="s">
        <v>31</v>
      </c>
      <c r="AC52" s="28" t="s">
        <v>31</v>
      </c>
      <c r="AD52" s="28" t="s">
        <v>31</v>
      </c>
    </row>
    <row r="53" spans="1:30" ht="14.55" customHeight="1" x14ac:dyDescent="0.4">
      <c r="A53" s="20">
        <v>1</v>
      </c>
      <c r="B53" s="20">
        <v>54</v>
      </c>
      <c r="C53" s="29">
        <v>57</v>
      </c>
      <c r="D53" s="22" t="s">
        <v>30</v>
      </c>
      <c r="E53" s="22">
        <v>0</v>
      </c>
      <c r="F53" s="22">
        <v>1</v>
      </c>
      <c r="G53" s="22">
        <v>0</v>
      </c>
      <c r="H53" s="22">
        <v>1</v>
      </c>
      <c r="I53" s="22">
        <v>0</v>
      </c>
      <c r="J53" s="22">
        <v>1</v>
      </c>
      <c r="K53" s="22">
        <v>0</v>
      </c>
      <c r="L53" s="22">
        <v>0</v>
      </c>
      <c r="M53" s="22">
        <v>0</v>
      </c>
      <c r="N53" s="23">
        <v>43919.585416666698</v>
      </c>
      <c r="O53" s="23">
        <v>43939</v>
      </c>
      <c r="P53" s="24">
        <f t="shared" si="0"/>
        <v>20.4145833333023</v>
      </c>
      <c r="Q53" s="20" t="s">
        <v>31</v>
      </c>
      <c r="R53" s="20" t="s">
        <v>31</v>
      </c>
      <c r="S53" s="20" t="s">
        <v>32</v>
      </c>
      <c r="T53" s="20">
        <v>18573.71</v>
      </c>
      <c r="U53" s="20" t="s">
        <v>33</v>
      </c>
      <c r="V53" s="25">
        <v>43938.453009259298</v>
      </c>
      <c r="W53" s="20" t="s">
        <v>34</v>
      </c>
      <c r="X53" s="20"/>
      <c r="Y53" s="26">
        <v>317.88222222245503</v>
      </c>
      <c r="Z53" s="22" t="s">
        <v>35</v>
      </c>
      <c r="AA53" s="27" t="s">
        <v>34</v>
      </c>
      <c r="AB53" s="27" t="s">
        <v>31</v>
      </c>
      <c r="AC53" s="28" t="s">
        <v>31</v>
      </c>
      <c r="AD53" s="28" t="s">
        <v>31</v>
      </c>
    </row>
    <row r="54" spans="1:30" ht="14.55" customHeight="1" x14ac:dyDescent="0.4">
      <c r="A54" s="20">
        <v>1</v>
      </c>
      <c r="B54" s="20">
        <v>55</v>
      </c>
      <c r="C54" s="29">
        <v>69</v>
      </c>
      <c r="D54" s="22" t="s">
        <v>38</v>
      </c>
      <c r="E54" s="22">
        <v>0</v>
      </c>
      <c r="F54" s="22">
        <v>1</v>
      </c>
      <c r="G54" s="22">
        <v>0</v>
      </c>
      <c r="H54" s="22">
        <v>1</v>
      </c>
      <c r="I54" s="22">
        <v>1</v>
      </c>
      <c r="J54" s="22">
        <v>0</v>
      </c>
      <c r="K54" s="22">
        <v>1</v>
      </c>
      <c r="L54" s="22">
        <v>0</v>
      </c>
      <c r="M54" s="22">
        <v>0</v>
      </c>
      <c r="N54" s="23">
        <v>44218.443055555603</v>
      </c>
      <c r="O54" s="23">
        <v>44263</v>
      </c>
      <c r="P54" s="24">
        <f t="shared" si="0"/>
        <v>45.556944444397203</v>
      </c>
      <c r="Q54" s="20" t="s">
        <v>31</v>
      </c>
      <c r="R54" s="20" t="s">
        <v>31</v>
      </c>
      <c r="S54" s="20" t="s">
        <v>32</v>
      </c>
      <c r="T54" s="20">
        <v>88126.97</v>
      </c>
      <c r="U54" s="20" t="s">
        <v>36</v>
      </c>
      <c r="V54" s="25">
        <v>44251.493391203701</v>
      </c>
      <c r="W54" s="20" t="s">
        <v>46</v>
      </c>
      <c r="X54" s="20"/>
      <c r="Y54" s="26">
        <v>69.894166667887504</v>
      </c>
      <c r="Z54" s="22" t="s">
        <v>35</v>
      </c>
      <c r="AA54" s="27">
        <v>1</v>
      </c>
      <c r="AB54" s="27" t="s">
        <v>31</v>
      </c>
      <c r="AC54" s="28">
        <v>2</v>
      </c>
      <c r="AD54" s="28" t="s">
        <v>31</v>
      </c>
    </row>
    <row r="55" spans="1:30" ht="14.55" customHeight="1" x14ac:dyDescent="0.4">
      <c r="A55" s="20">
        <v>1</v>
      </c>
      <c r="B55" s="20">
        <v>56</v>
      </c>
      <c r="C55" s="29">
        <v>64</v>
      </c>
      <c r="D55" s="22" t="s">
        <v>30</v>
      </c>
      <c r="E55" s="22">
        <v>0</v>
      </c>
      <c r="F55" s="22">
        <v>1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3">
        <v>44261.629861111098</v>
      </c>
      <c r="O55" s="23">
        <v>44270</v>
      </c>
      <c r="P55" s="24">
        <f t="shared" si="0"/>
        <v>9.3701388889021509</v>
      </c>
      <c r="Q55" s="20" t="s">
        <v>31</v>
      </c>
      <c r="R55" s="20" t="s">
        <v>31</v>
      </c>
      <c r="S55" s="20" t="s">
        <v>32</v>
      </c>
      <c r="T55" s="26">
        <v>11590.5</v>
      </c>
      <c r="U55" s="20" t="s">
        <v>36</v>
      </c>
      <c r="V55" s="25">
        <v>44267.551249999997</v>
      </c>
      <c r="W55" s="20" t="s">
        <v>34</v>
      </c>
      <c r="X55" s="20"/>
      <c r="Y55" s="26">
        <v>44.749444444896703</v>
      </c>
      <c r="Z55" s="22" t="s">
        <v>35</v>
      </c>
      <c r="AA55" s="27" t="s">
        <v>34</v>
      </c>
      <c r="AB55" s="27" t="s">
        <v>31</v>
      </c>
      <c r="AC55" s="28" t="s">
        <v>31</v>
      </c>
      <c r="AD55" s="28" t="s">
        <v>31</v>
      </c>
    </row>
    <row r="56" spans="1:30" ht="14.55" customHeight="1" x14ac:dyDescent="0.4">
      <c r="A56" s="20">
        <v>1</v>
      </c>
      <c r="B56" s="20">
        <v>57</v>
      </c>
      <c r="C56" s="29">
        <v>68</v>
      </c>
      <c r="D56" s="22" t="s">
        <v>38</v>
      </c>
      <c r="E56" s="22">
        <v>1</v>
      </c>
      <c r="F56" s="22">
        <v>1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3">
        <v>44214.668749999997</v>
      </c>
      <c r="O56" s="23">
        <v>44245</v>
      </c>
      <c r="P56" s="24">
        <f t="shared" si="0"/>
        <v>31.3312500000029</v>
      </c>
      <c r="Q56" s="20" t="s">
        <v>31</v>
      </c>
      <c r="R56" s="20" t="s">
        <v>31</v>
      </c>
      <c r="S56" s="20" t="s">
        <v>32</v>
      </c>
      <c r="T56" s="20">
        <v>335431.01</v>
      </c>
      <c r="U56" s="20" t="s">
        <v>36</v>
      </c>
      <c r="V56" s="25">
        <v>44234.700393518498</v>
      </c>
      <c r="W56" s="20" t="s">
        <v>34</v>
      </c>
      <c r="X56" s="20"/>
      <c r="Y56" s="26">
        <v>40.237777778471397</v>
      </c>
      <c r="Z56" s="22" t="s">
        <v>35</v>
      </c>
      <c r="AA56" s="27" t="s">
        <v>34</v>
      </c>
      <c r="AB56" s="27" t="s">
        <v>31</v>
      </c>
      <c r="AC56" s="28" t="s">
        <v>31</v>
      </c>
      <c r="AD56" s="28" t="s">
        <v>31</v>
      </c>
    </row>
    <row r="57" spans="1:30" ht="14.55" customHeight="1" x14ac:dyDescent="0.4">
      <c r="A57" s="20">
        <v>1</v>
      </c>
      <c r="B57" s="20">
        <v>58</v>
      </c>
      <c r="C57" s="29">
        <v>68</v>
      </c>
      <c r="D57" s="22" t="s">
        <v>30</v>
      </c>
      <c r="E57" s="22">
        <v>0</v>
      </c>
      <c r="F57" s="22">
        <v>1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3">
        <v>44497.624305555597</v>
      </c>
      <c r="O57" s="23">
        <v>44503</v>
      </c>
      <c r="P57" s="24">
        <f t="shared" si="0"/>
        <v>6.3756944444030497</v>
      </c>
      <c r="Q57" s="20" t="s">
        <v>31</v>
      </c>
      <c r="R57" s="20" t="s">
        <v>31</v>
      </c>
      <c r="S57" s="20" t="s">
        <v>32</v>
      </c>
      <c r="T57" s="26">
        <v>7387.3</v>
      </c>
      <c r="U57" s="20" t="s">
        <v>40</v>
      </c>
      <c r="V57" s="25">
        <v>44501.488969907397</v>
      </c>
      <c r="W57" s="20" t="s">
        <v>44</v>
      </c>
      <c r="X57" s="20"/>
      <c r="Y57" s="26">
        <v>68.824444444791894</v>
      </c>
      <c r="Z57" s="22" t="s">
        <v>35</v>
      </c>
      <c r="AA57" s="27">
        <v>1</v>
      </c>
      <c r="AB57" s="27" t="s">
        <v>31</v>
      </c>
      <c r="AC57" s="28">
        <v>1</v>
      </c>
      <c r="AD57" s="28" t="s">
        <v>31</v>
      </c>
    </row>
    <row r="58" spans="1:30" ht="14.55" customHeight="1" x14ac:dyDescent="0.4">
      <c r="A58" s="20">
        <v>1</v>
      </c>
      <c r="B58" s="20">
        <v>59</v>
      </c>
      <c r="C58" s="29">
        <v>57</v>
      </c>
      <c r="D58" s="22" t="s">
        <v>30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3">
        <v>44376.610416666699</v>
      </c>
      <c r="O58" s="23">
        <v>44397</v>
      </c>
      <c r="P58" s="24">
        <f t="shared" si="0"/>
        <v>21.389583333300799</v>
      </c>
      <c r="Q58" s="20" t="s">
        <v>31</v>
      </c>
      <c r="R58" s="20" t="s">
        <v>31</v>
      </c>
      <c r="S58" s="20" t="s">
        <v>32</v>
      </c>
      <c r="T58" s="20">
        <v>37104.620000000003</v>
      </c>
      <c r="U58" s="20" t="s">
        <v>33</v>
      </c>
      <c r="V58" s="25">
        <v>44379.644537036998</v>
      </c>
      <c r="W58" s="20" t="s">
        <v>47</v>
      </c>
      <c r="X58" s="20"/>
      <c r="Y58" s="26">
        <v>139.430000001623</v>
      </c>
      <c r="Z58" s="22" t="s">
        <v>35</v>
      </c>
      <c r="AA58" s="27">
        <v>1</v>
      </c>
      <c r="AB58" s="27" t="s">
        <v>31</v>
      </c>
      <c r="AC58" s="28">
        <v>2</v>
      </c>
      <c r="AD58" s="28" t="s">
        <v>31</v>
      </c>
    </row>
    <row r="59" spans="1:30" ht="14.55" customHeight="1" x14ac:dyDescent="0.4">
      <c r="A59" s="20">
        <v>1</v>
      </c>
      <c r="B59" s="20">
        <v>60</v>
      </c>
      <c r="C59" s="29">
        <v>55</v>
      </c>
      <c r="D59" s="22" t="s">
        <v>30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3">
        <v>44256.704861111102</v>
      </c>
      <c r="O59" s="23">
        <v>44279</v>
      </c>
      <c r="P59" s="24">
        <f t="shared" si="0"/>
        <v>23.295138888897799</v>
      </c>
      <c r="Q59" s="20" t="s">
        <v>31</v>
      </c>
      <c r="R59" s="20" t="s">
        <v>31</v>
      </c>
      <c r="S59" s="20" t="s">
        <v>32</v>
      </c>
      <c r="T59" s="20">
        <v>191227.51999999999</v>
      </c>
      <c r="U59" s="20" t="s">
        <v>33</v>
      </c>
      <c r="V59" s="25">
        <v>44261.496446759302</v>
      </c>
      <c r="W59" s="20" t="s">
        <v>34</v>
      </c>
      <c r="X59" s="20"/>
      <c r="Y59" s="26">
        <v>45.821111109573401</v>
      </c>
      <c r="Z59" s="22" t="s">
        <v>35</v>
      </c>
      <c r="AA59" s="27" t="s">
        <v>34</v>
      </c>
      <c r="AB59" s="27" t="s">
        <v>31</v>
      </c>
      <c r="AC59" s="28" t="s">
        <v>31</v>
      </c>
      <c r="AD59" s="28" t="s">
        <v>31</v>
      </c>
    </row>
    <row r="60" spans="1:30" ht="14.55" customHeight="1" x14ac:dyDescent="0.4">
      <c r="A60" s="20">
        <v>1</v>
      </c>
      <c r="B60" s="20">
        <v>61</v>
      </c>
      <c r="C60" s="29">
        <v>66</v>
      </c>
      <c r="D60" s="22" t="s">
        <v>38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3">
        <v>44022.418749999997</v>
      </c>
      <c r="O60" s="23">
        <v>44029</v>
      </c>
      <c r="P60" s="24">
        <f t="shared" si="0"/>
        <v>7.5812500000029104</v>
      </c>
      <c r="Q60" s="20" t="s">
        <v>31</v>
      </c>
      <c r="R60" s="20" t="s">
        <v>31</v>
      </c>
      <c r="S60" s="20" t="s">
        <v>32</v>
      </c>
      <c r="T60" s="20">
        <v>6682.18</v>
      </c>
      <c r="U60" s="20" t="s">
        <v>36</v>
      </c>
      <c r="V60" s="25">
        <v>44028.635312500002</v>
      </c>
      <c r="W60" s="20" t="s">
        <v>34</v>
      </c>
      <c r="X60" s="20"/>
      <c r="Y60" s="26">
        <v>43.923888887918999</v>
      </c>
      <c r="Z60" s="22" t="s">
        <v>35</v>
      </c>
      <c r="AA60" s="27" t="s">
        <v>34</v>
      </c>
      <c r="AB60" s="27" t="s">
        <v>31</v>
      </c>
      <c r="AC60" s="28" t="s">
        <v>31</v>
      </c>
      <c r="AD60" s="28" t="s">
        <v>31</v>
      </c>
    </row>
    <row r="61" spans="1:30" ht="14.55" customHeight="1" x14ac:dyDescent="0.4">
      <c r="A61" s="20">
        <v>1</v>
      </c>
      <c r="B61" s="20">
        <v>62</v>
      </c>
      <c r="C61" s="29">
        <v>59</v>
      </c>
      <c r="D61" s="22" t="s">
        <v>38</v>
      </c>
      <c r="E61" s="22">
        <v>0</v>
      </c>
      <c r="F61" s="22">
        <v>1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3">
        <v>44432.622222222199</v>
      </c>
      <c r="O61" s="23">
        <v>44440</v>
      </c>
      <c r="P61" s="24">
        <f t="shared" si="0"/>
        <v>8.3777777778013807</v>
      </c>
      <c r="Q61" s="20" t="s">
        <v>31</v>
      </c>
      <c r="R61" s="20" t="s">
        <v>31</v>
      </c>
      <c r="S61" s="20" t="s">
        <v>32</v>
      </c>
      <c r="T61" s="20">
        <v>11132.36</v>
      </c>
      <c r="U61" s="22" t="s">
        <v>39</v>
      </c>
      <c r="V61" s="25">
        <v>44438.492407407401</v>
      </c>
      <c r="W61" s="20" t="s">
        <v>48</v>
      </c>
      <c r="X61" s="20"/>
      <c r="Y61" s="26">
        <v>196.80749999993699</v>
      </c>
      <c r="Z61" s="22" t="s">
        <v>35</v>
      </c>
      <c r="AA61" s="27">
        <v>1</v>
      </c>
      <c r="AB61" s="27" t="s">
        <v>31</v>
      </c>
      <c r="AC61" s="28">
        <v>1</v>
      </c>
      <c r="AD61" s="28" t="s">
        <v>31</v>
      </c>
    </row>
    <row r="62" spans="1:30" ht="14.55" customHeight="1" x14ac:dyDescent="0.4">
      <c r="A62" s="20">
        <v>1</v>
      </c>
      <c r="B62" s="20">
        <v>63</v>
      </c>
      <c r="C62" s="29">
        <v>67</v>
      </c>
      <c r="D62" s="22" t="s">
        <v>30</v>
      </c>
      <c r="E62" s="22">
        <v>0</v>
      </c>
      <c r="F62" s="22">
        <v>0</v>
      </c>
      <c r="G62" s="22">
        <v>0</v>
      </c>
      <c r="H62" s="22">
        <v>1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3">
        <v>44286.663888888899</v>
      </c>
      <c r="O62" s="23">
        <v>44302</v>
      </c>
      <c r="P62" s="24">
        <f t="shared" si="0"/>
        <v>16.336111111100799</v>
      </c>
      <c r="Q62" s="20" t="s">
        <v>31</v>
      </c>
      <c r="R62" s="20" t="s">
        <v>31</v>
      </c>
      <c r="S62" s="20" t="s">
        <v>32</v>
      </c>
      <c r="T62" s="20">
        <v>16761.62</v>
      </c>
      <c r="U62" s="20" t="s">
        <v>36</v>
      </c>
      <c r="V62" s="25">
        <v>44295.501145833303</v>
      </c>
      <c r="W62" s="20" t="s">
        <v>34</v>
      </c>
      <c r="X62" s="20"/>
      <c r="Y62" s="26">
        <v>1463.72444444639</v>
      </c>
      <c r="Z62" s="22" t="s">
        <v>35</v>
      </c>
      <c r="AA62" s="27" t="s">
        <v>34</v>
      </c>
      <c r="AB62" s="27" t="s">
        <v>31</v>
      </c>
      <c r="AC62" s="28" t="s">
        <v>31</v>
      </c>
      <c r="AD62" s="28" t="s">
        <v>31</v>
      </c>
    </row>
    <row r="63" spans="1:30" ht="14.55" customHeight="1" x14ac:dyDescent="0.4">
      <c r="A63" s="20">
        <v>1</v>
      </c>
      <c r="B63" s="20">
        <v>64</v>
      </c>
      <c r="C63" s="29">
        <v>58</v>
      </c>
      <c r="D63" s="22" t="s">
        <v>30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3">
        <v>44465.613888888904</v>
      </c>
      <c r="O63" s="23">
        <v>44472</v>
      </c>
      <c r="P63" s="24">
        <f t="shared" si="0"/>
        <v>7.3861111110964002</v>
      </c>
      <c r="Q63" s="20" t="s">
        <v>31</v>
      </c>
      <c r="R63" s="20" t="s">
        <v>31</v>
      </c>
      <c r="S63" s="20" t="s">
        <v>32</v>
      </c>
      <c r="T63" s="20">
        <v>9030.93</v>
      </c>
      <c r="U63" s="20" t="s">
        <v>39</v>
      </c>
      <c r="V63" s="25">
        <v>44468.6389583333</v>
      </c>
      <c r="W63" s="20" t="s">
        <v>34</v>
      </c>
      <c r="X63" s="20"/>
      <c r="Y63" s="26">
        <v>47.814166667929399</v>
      </c>
      <c r="Z63" s="22" t="s">
        <v>35</v>
      </c>
      <c r="AA63" s="27" t="s">
        <v>34</v>
      </c>
      <c r="AB63" s="27" t="s">
        <v>31</v>
      </c>
      <c r="AC63" s="28" t="s">
        <v>31</v>
      </c>
      <c r="AD63" s="28" t="s">
        <v>31</v>
      </c>
    </row>
    <row r="64" spans="1:30" ht="14.55" customHeight="1" x14ac:dyDescent="0.4">
      <c r="A64" s="20">
        <v>1</v>
      </c>
      <c r="B64" s="20">
        <v>65</v>
      </c>
      <c r="C64" s="29">
        <v>65</v>
      </c>
      <c r="D64" s="22" t="s">
        <v>38</v>
      </c>
      <c r="E64" s="22">
        <v>0</v>
      </c>
      <c r="F64" s="22">
        <v>1</v>
      </c>
      <c r="G64" s="22">
        <v>0</v>
      </c>
      <c r="H64" s="22">
        <v>1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3">
        <v>44011.595833333296</v>
      </c>
      <c r="O64" s="23">
        <v>44026</v>
      </c>
      <c r="P64" s="24">
        <f t="shared" si="0"/>
        <v>15.4041666667035</v>
      </c>
      <c r="Q64" s="20" t="s">
        <v>31</v>
      </c>
      <c r="R64" s="20" t="s">
        <v>31</v>
      </c>
      <c r="S64" s="20" t="s">
        <v>32</v>
      </c>
      <c r="T64" s="20">
        <v>21612.28</v>
      </c>
      <c r="U64" s="20" t="s">
        <v>39</v>
      </c>
      <c r="V64" s="25">
        <v>44015.497673611098</v>
      </c>
      <c r="W64" s="20" t="s">
        <v>34</v>
      </c>
      <c r="X64" s="20"/>
      <c r="Y64" s="26">
        <v>239.414166667324</v>
      </c>
      <c r="Z64" s="22" t="s">
        <v>35</v>
      </c>
      <c r="AA64" s="27" t="s">
        <v>34</v>
      </c>
      <c r="AB64" s="27" t="s">
        <v>31</v>
      </c>
      <c r="AC64" s="28" t="s">
        <v>31</v>
      </c>
      <c r="AD64" s="28" t="s">
        <v>31</v>
      </c>
    </row>
    <row r="65" spans="1:30" ht="14.55" customHeight="1" x14ac:dyDescent="0.4">
      <c r="A65" s="20">
        <v>1</v>
      </c>
      <c r="B65" s="20">
        <v>66</v>
      </c>
      <c r="C65" s="29">
        <v>55</v>
      </c>
      <c r="D65" s="22" t="s">
        <v>30</v>
      </c>
      <c r="E65" s="22">
        <v>0</v>
      </c>
      <c r="F65" s="22">
        <v>0</v>
      </c>
      <c r="G65" s="22">
        <v>1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3">
        <v>44391.586111111101</v>
      </c>
      <c r="O65" s="23">
        <v>44397</v>
      </c>
      <c r="P65" s="24">
        <f t="shared" si="0"/>
        <v>6.4138888888992396</v>
      </c>
      <c r="Q65" s="20" t="s">
        <v>31</v>
      </c>
      <c r="R65" s="20" t="s">
        <v>31</v>
      </c>
      <c r="S65" s="20" t="s">
        <v>32</v>
      </c>
      <c r="T65" s="20">
        <v>8198.58</v>
      </c>
      <c r="U65" s="20" t="s">
        <v>36</v>
      </c>
      <c r="V65" s="25">
        <v>44393.486574074101</v>
      </c>
      <c r="W65" s="20" t="s">
        <v>34</v>
      </c>
      <c r="X65" s="20"/>
      <c r="Y65" s="26">
        <v>47.106944443134097</v>
      </c>
      <c r="Z65" s="22" t="s">
        <v>35</v>
      </c>
      <c r="AA65" s="27" t="s">
        <v>34</v>
      </c>
      <c r="AB65" s="27" t="s">
        <v>31</v>
      </c>
      <c r="AC65" s="28" t="s">
        <v>31</v>
      </c>
      <c r="AD65" s="28" t="s">
        <v>31</v>
      </c>
    </row>
    <row r="66" spans="1:30" ht="14.55" customHeight="1" x14ac:dyDescent="0.4">
      <c r="A66" s="20">
        <v>1</v>
      </c>
      <c r="B66" s="20">
        <v>67</v>
      </c>
      <c r="C66" s="29">
        <v>64</v>
      </c>
      <c r="D66" s="22" t="s">
        <v>30</v>
      </c>
      <c r="E66" s="22">
        <v>0</v>
      </c>
      <c r="F66" s="22">
        <v>0</v>
      </c>
      <c r="G66" s="22">
        <v>0</v>
      </c>
      <c r="H66" s="22">
        <v>1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3">
        <v>44529.671527777798</v>
      </c>
      <c r="O66" s="23">
        <v>44601</v>
      </c>
      <c r="P66" s="24">
        <f t="shared" si="0"/>
        <v>72.328472222201498</v>
      </c>
      <c r="Q66" s="20" t="s">
        <v>31</v>
      </c>
      <c r="R66" s="20" t="s">
        <v>31</v>
      </c>
      <c r="S66" s="20" t="s">
        <v>32</v>
      </c>
      <c r="T66" s="20">
        <v>220358.13</v>
      </c>
      <c r="U66" s="20" t="s">
        <v>40</v>
      </c>
      <c r="V66" s="25">
        <v>44534.488981481503</v>
      </c>
      <c r="W66" s="20" t="s">
        <v>49</v>
      </c>
      <c r="X66" s="20"/>
      <c r="Y66" s="26">
        <v>69.065277777495794</v>
      </c>
      <c r="Z66" s="22" t="s">
        <v>35</v>
      </c>
      <c r="AA66" s="27">
        <v>1</v>
      </c>
      <c r="AB66" s="27" t="s">
        <v>31</v>
      </c>
      <c r="AC66" s="28">
        <v>1</v>
      </c>
      <c r="AD66" s="28" t="s">
        <v>31</v>
      </c>
    </row>
    <row r="67" spans="1:30" ht="14.55" customHeight="1" x14ac:dyDescent="0.4">
      <c r="A67" s="20">
        <v>1</v>
      </c>
      <c r="B67" s="20">
        <v>68</v>
      </c>
      <c r="C67" s="29">
        <v>62</v>
      </c>
      <c r="D67" s="22" t="s">
        <v>30</v>
      </c>
      <c r="E67" s="22">
        <v>1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3">
        <v>44265.343055555597</v>
      </c>
      <c r="O67" s="23">
        <v>44285</v>
      </c>
      <c r="P67" s="24">
        <f t="shared" ref="P67:P130" si="1">O67-N67+1</f>
        <v>20.656944444403099</v>
      </c>
      <c r="Q67" s="20" t="s">
        <v>31</v>
      </c>
      <c r="R67" s="20" t="s">
        <v>31</v>
      </c>
      <c r="S67" s="20" t="s">
        <v>32</v>
      </c>
      <c r="T67" s="20">
        <v>19230.29</v>
      </c>
      <c r="U67" s="20" t="s">
        <v>36</v>
      </c>
      <c r="V67" s="25">
        <v>44271.638148148202</v>
      </c>
      <c r="W67" s="20" t="s">
        <v>50</v>
      </c>
      <c r="X67" s="20"/>
      <c r="Y67" s="26">
        <v>43.3961111088283</v>
      </c>
      <c r="Z67" s="22" t="s">
        <v>35</v>
      </c>
      <c r="AA67" s="27">
        <v>1</v>
      </c>
      <c r="AB67" s="27" t="s">
        <v>31</v>
      </c>
      <c r="AC67" s="28">
        <v>1</v>
      </c>
      <c r="AD67" s="28" t="s">
        <v>31</v>
      </c>
    </row>
    <row r="68" spans="1:30" ht="14.55" customHeight="1" x14ac:dyDescent="0.4">
      <c r="A68" s="20">
        <v>1</v>
      </c>
      <c r="B68" s="20">
        <v>69</v>
      </c>
      <c r="C68" s="29">
        <v>55</v>
      </c>
      <c r="D68" s="22" t="s">
        <v>30</v>
      </c>
      <c r="E68" s="22">
        <v>0</v>
      </c>
      <c r="F68" s="22">
        <v>1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3">
        <v>43999.597222222197</v>
      </c>
      <c r="O68" s="23">
        <v>44005</v>
      </c>
      <c r="P68" s="24">
        <f t="shared" si="1"/>
        <v>6.4027777778028403</v>
      </c>
      <c r="Q68" s="20" t="s">
        <v>31</v>
      </c>
      <c r="R68" s="20" t="s">
        <v>31</v>
      </c>
      <c r="S68" s="20" t="s">
        <v>32</v>
      </c>
      <c r="T68" s="20">
        <v>7863.64</v>
      </c>
      <c r="U68" s="20" t="s">
        <v>33</v>
      </c>
      <c r="V68" s="25">
        <v>44004.478159722203</v>
      </c>
      <c r="W68" s="20" t="s">
        <v>34</v>
      </c>
      <c r="X68" s="20"/>
      <c r="Y68" s="26">
        <v>48.0388888895977</v>
      </c>
      <c r="Z68" s="22" t="s">
        <v>35</v>
      </c>
      <c r="AA68" s="27" t="s">
        <v>34</v>
      </c>
      <c r="AB68" s="27" t="s">
        <v>31</v>
      </c>
      <c r="AC68" s="28" t="s">
        <v>31</v>
      </c>
      <c r="AD68" s="28" t="s">
        <v>31</v>
      </c>
    </row>
    <row r="69" spans="1:30" ht="14.55" customHeight="1" x14ac:dyDescent="0.4">
      <c r="A69" s="20">
        <v>1</v>
      </c>
      <c r="B69" s="20">
        <v>70</v>
      </c>
      <c r="C69" s="29">
        <v>66</v>
      </c>
      <c r="D69" s="22" t="s">
        <v>38</v>
      </c>
      <c r="E69" s="22">
        <v>0</v>
      </c>
      <c r="F69" s="22">
        <v>1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3">
        <v>44054.588888888902</v>
      </c>
      <c r="O69" s="23">
        <v>44070</v>
      </c>
      <c r="P69" s="24">
        <f t="shared" si="1"/>
        <v>16.411111111097899</v>
      </c>
      <c r="Q69" s="20" t="s">
        <v>31</v>
      </c>
      <c r="R69" s="20" t="s">
        <v>31</v>
      </c>
      <c r="S69" s="20" t="s">
        <v>32</v>
      </c>
      <c r="T69" s="26">
        <v>16633</v>
      </c>
      <c r="U69" s="20" t="s">
        <v>36</v>
      </c>
      <c r="V69" s="25">
        <v>44060.667523148099</v>
      </c>
      <c r="W69" s="20" t="s">
        <v>34</v>
      </c>
      <c r="X69" s="20"/>
      <c r="Y69" s="26">
        <v>233.64861111121701</v>
      </c>
      <c r="Z69" s="22" t="s">
        <v>35</v>
      </c>
      <c r="AA69" s="27" t="s">
        <v>34</v>
      </c>
      <c r="AB69" s="27" t="s">
        <v>31</v>
      </c>
      <c r="AC69" s="28" t="s">
        <v>31</v>
      </c>
      <c r="AD69" s="28" t="s">
        <v>31</v>
      </c>
    </row>
    <row r="70" spans="1:30" ht="14.55" customHeight="1" x14ac:dyDescent="0.4">
      <c r="A70" s="20">
        <v>1</v>
      </c>
      <c r="B70" s="20">
        <v>71</v>
      </c>
      <c r="C70" s="29">
        <v>69</v>
      </c>
      <c r="D70" s="22" t="s">
        <v>38</v>
      </c>
      <c r="E70" s="22">
        <v>0</v>
      </c>
      <c r="F70" s="22">
        <v>1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3">
        <v>44144.635416666701</v>
      </c>
      <c r="O70" s="23">
        <v>44154</v>
      </c>
      <c r="P70" s="24">
        <f t="shared" si="1"/>
        <v>10.3645833332994</v>
      </c>
      <c r="Q70" s="20" t="s">
        <v>31</v>
      </c>
      <c r="R70" s="20" t="s">
        <v>31</v>
      </c>
      <c r="S70" s="20" t="s">
        <v>32</v>
      </c>
      <c r="T70" s="20">
        <v>10738.74</v>
      </c>
      <c r="U70" s="22" t="s">
        <v>40</v>
      </c>
      <c r="V70" s="25">
        <v>44151.689224537004</v>
      </c>
      <c r="W70" s="20" t="s">
        <v>43</v>
      </c>
      <c r="X70" s="20"/>
      <c r="Y70" s="26">
        <v>92.496388888685004</v>
      </c>
      <c r="Z70" s="22" t="s">
        <v>35</v>
      </c>
      <c r="AA70" s="27">
        <v>1</v>
      </c>
      <c r="AB70" s="27" t="s">
        <v>31</v>
      </c>
      <c r="AC70" s="28">
        <v>1</v>
      </c>
      <c r="AD70" s="28" t="s">
        <v>31</v>
      </c>
    </row>
    <row r="71" spans="1:30" ht="14.55" customHeight="1" x14ac:dyDescent="0.4">
      <c r="A71" s="20">
        <v>1</v>
      </c>
      <c r="B71" s="20">
        <v>72</v>
      </c>
      <c r="C71" s="29">
        <v>56</v>
      </c>
      <c r="D71" s="22" t="s">
        <v>30</v>
      </c>
      <c r="E71" s="22">
        <v>1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3">
        <v>43933.642361111102</v>
      </c>
      <c r="O71" s="23">
        <v>43942</v>
      </c>
      <c r="P71" s="24">
        <f t="shared" si="1"/>
        <v>9.3576388888977799</v>
      </c>
      <c r="Q71" s="20" t="s">
        <v>31</v>
      </c>
      <c r="R71" s="20" t="s">
        <v>31</v>
      </c>
      <c r="S71" s="20" t="s">
        <v>32</v>
      </c>
      <c r="T71" s="20">
        <v>10612.26</v>
      </c>
      <c r="U71" s="20" t="s">
        <v>33</v>
      </c>
      <c r="V71" s="25">
        <v>43938.7081944444</v>
      </c>
      <c r="W71" s="20" t="s">
        <v>34</v>
      </c>
      <c r="X71" s="20"/>
      <c r="Y71" s="26">
        <v>1482.7183333344899</v>
      </c>
      <c r="Z71" s="22" t="s">
        <v>35</v>
      </c>
      <c r="AA71" s="27" t="s">
        <v>34</v>
      </c>
      <c r="AB71" s="27" t="s">
        <v>31</v>
      </c>
      <c r="AC71" s="28" t="s">
        <v>31</v>
      </c>
      <c r="AD71" s="28" t="s">
        <v>31</v>
      </c>
    </row>
    <row r="72" spans="1:30" ht="14.55" customHeight="1" x14ac:dyDescent="0.4">
      <c r="A72" s="20">
        <v>1</v>
      </c>
      <c r="B72" s="20">
        <v>73</v>
      </c>
      <c r="C72" s="29">
        <v>55</v>
      </c>
      <c r="D72" s="22" t="s">
        <v>30</v>
      </c>
      <c r="E72" s="22">
        <v>0</v>
      </c>
      <c r="F72" s="22">
        <v>0</v>
      </c>
      <c r="G72" s="22">
        <v>0</v>
      </c>
      <c r="H72" s="22">
        <v>1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3">
        <v>44061.593055555597</v>
      </c>
      <c r="O72" s="23">
        <v>44072</v>
      </c>
      <c r="P72" s="24">
        <f t="shared" si="1"/>
        <v>11.4069444444031</v>
      </c>
      <c r="Q72" s="20" t="s">
        <v>31</v>
      </c>
      <c r="R72" s="20" t="s">
        <v>31</v>
      </c>
      <c r="S72" s="20" t="s">
        <v>32</v>
      </c>
      <c r="T72" s="20">
        <v>124195.32</v>
      </c>
      <c r="U72" s="20" t="s">
        <v>51</v>
      </c>
      <c r="V72" s="25">
        <v>44064.622430555602</v>
      </c>
      <c r="W72" s="20" t="s">
        <v>34</v>
      </c>
      <c r="X72" s="20"/>
      <c r="Y72" s="26">
        <v>44.657777776708798</v>
      </c>
      <c r="Z72" s="22" t="s">
        <v>35</v>
      </c>
      <c r="AA72" s="27" t="s">
        <v>34</v>
      </c>
      <c r="AB72" s="27" t="s">
        <v>31</v>
      </c>
      <c r="AC72" s="28" t="s">
        <v>31</v>
      </c>
      <c r="AD72" s="28" t="s">
        <v>31</v>
      </c>
    </row>
    <row r="73" spans="1:30" ht="14.55" customHeight="1" x14ac:dyDescent="0.4">
      <c r="A73" s="20">
        <v>1</v>
      </c>
      <c r="B73" s="20">
        <v>74</v>
      </c>
      <c r="C73" s="29">
        <v>60</v>
      </c>
      <c r="D73" s="22" t="s">
        <v>30</v>
      </c>
      <c r="E73" s="22">
        <v>0</v>
      </c>
      <c r="F73" s="22">
        <v>1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3">
        <v>43947.587500000001</v>
      </c>
      <c r="O73" s="23">
        <v>43962</v>
      </c>
      <c r="P73" s="24">
        <f t="shared" si="1"/>
        <v>15.4124999999985</v>
      </c>
      <c r="Q73" s="20" t="s">
        <v>31</v>
      </c>
      <c r="R73" s="20" t="s">
        <v>31</v>
      </c>
      <c r="S73" s="20" t="s">
        <v>32</v>
      </c>
      <c r="T73" s="20">
        <v>16866.47</v>
      </c>
      <c r="U73" s="20" t="s">
        <v>40</v>
      </c>
      <c r="V73" s="25">
        <v>43957.494212963</v>
      </c>
      <c r="W73" s="20" t="s">
        <v>52</v>
      </c>
      <c r="X73" s="20"/>
      <c r="Y73" s="26">
        <v>68.713611110346406</v>
      </c>
      <c r="Z73" s="22" t="s">
        <v>35</v>
      </c>
      <c r="AA73" s="27">
        <v>1</v>
      </c>
      <c r="AB73" s="27" t="s">
        <v>31</v>
      </c>
      <c r="AC73" s="28">
        <v>2</v>
      </c>
      <c r="AD73" s="28" t="s">
        <v>31</v>
      </c>
    </row>
    <row r="74" spans="1:30" ht="14.55" customHeight="1" x14ac:dyDescent="0.4">
      <c r="A74" s="20">
        <v>1</v>
      </c>
      <c r="B74" s="20">
        <v>75</v>
      </c>
      <c r="C74" s="29">
        <v>62</v>
      </c>
      <c r="D74" s="22" t="s">
        <v>38</v>
      </c>
      <c r="E74" s="22">
        <v>0</v>
      </c>
      <c r="F74" s="22">
        <v>1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3">
        <v>43949.590972222199</v>
      </c>
      <c r="O74" s="23">
        <v>43954</v>
      </c>
      <c r="P74" s="24">
        <f t="shared" si="1"/>
        <v>5.4090277778013798</v>
      </c>
      <c r="Q74" s="20" t="s">
        <v>31</v>
      </c>
      <c r="R74" s="20" t="s">
        <v>31</v>
      </c>
      <c r="S74" s="20" t="s">
        <v>32</v>
      </c>
      <c r="T74" s="20">
        <v>6852.97</v>
      </c>
      <c r="U74" s="20" t="s">
        <v>36</v>
      </c>
      <c r="V74" s="25">
        <v>43951.497812499998</v>
      </c>
      <c r="W74" s="20" t="s">
        <v>34</v>
      </c>
      <c r="X74" s="20"/>
      <c r="Y74" s="26">
        <v>46.017222223221303</v>
      </c>
      <c r="Z74" s="22" t="s">
        <v>35</v>
      </c>
      <c r="AA74" s="27" t="s">
        <v>34</v>
      </c>
      <c r="AB74" s="27" t="s">
        <v>31</v>
      </c>
      <c r="AC74" s="28" t="s">
        <v>31</v>
      </c>
      <c r="AD74" s="28" t="s">
        <v>31</v>
      </c>
    </row>
    <row r="75" spans="1:30" ht="14.55" customHeight="1" x14ac:dyDescent="0.4">
      <c r="A75" s="20">
        <v>1</v>
      </c>
      <c r="B75" s="20">
        <v>76</v>
      </c>
      <c r="C75" s="29">
        <v>67</v>
      </c>
      <c r="D75" s="22" t="s">
        <v>30</v>
      </c>
      <c r="E75" s="22">
        <v>0</v>
      </c>
      <c r="F75" s="22">
        <v>1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3">
        <v>44386.65</v>
      </c>
      <c r="O75" s="23">
        <v>44396</v>
      </c>
      <c r="P75" s="24">
        <f t="shared" si="1"/>
        <v>10.3499999999985</v>
      </c>
      <c r="Q75" s="20" t="s">
        <v>31</v>
      </c>
      <c r="R75" s="20" t="s">
        <v>31</v>
      </c>
      <c r="S75" s="20" t="s">
        <v>32</v>
      </c>
      <c r="T75" s="26">
        <v>13020.1</v>
      </c>
      <c r="U75" s="20" t="s">
        <v>36</v>
      </c>
      <c r="V75" s="25">
        <v>44389.481261574103</v>
      </c>
      <c r="W75" s="20" t="s">
        <v>34</v>
      </c>
      <c r="X75" s="20"/>
      <c r="Y75" s="26">
        <v>239.34666666708699</v>
      </c>
      <c r="Z75" s="22" t="s">
        <v>35</v>
      </c>
      <c r="AA75" s="27" t="s">
        <v>34</v>
      </c>
      <c r="AB75" s="27" t="s">
        <v>31</v>
      </c>
      <c r="AC75" s="28" t="s">
        <v>31</v>
      </c>
      <c r="AD75" s="28" t="s">
        <v>31</v>
      </c>
    </row>
    <row r="76" spans="1:30" ht="14.55" customHeight="1" x14ac:dyDescent="0.4">
      <c r="A76" s="20">
        <v>1</v>
      </c>
      <c r="B76" s="20">
        <v>77</v>
      </c>
      <c r="C76" s="29">
        <v>62</v>
      </c>
      <c r="D76" s="22" t="s">
        <v>30</v>
      </c>
      <c r="E76" s="22">
        <v>0</v>
      </c>
      <c r="F76" s="22">
        <v>1</v>
      </c>
      <c r="G76" s="22">
        <v>1</v>
      </c>
      <c r="H76" s="22">
        <v>0</v>
      </c>
      <c r="I76" s="22">
        <v>1</v>
      </c>
      <c r="J76" s="22">
        <v>0</v>
      </c>
      <c r="K76" s="22">
        <v>1</v>
      </c>
      <c r="L76" s="22">
        <v>0</v>
      </c>
      <c r="M76" s="22">
        <v>0</v>
      </c>
      <c r="N76" s="23">
        <v>44489.634722222203</v>
      </c>
      <c r="O76" s="23">
        <v>44497</v>
      </c>
      <c r="P76" s="24">
        <f t="shared" si="1"/>
        <v>8.3652777777970204</v>
      </c>
      <c r="Q76" s="20" t="s">
        <v>31</v>
      </c>
      <c r="R76" s="20" t="s">
        <v>31</v>
      </c>
      <c r="S76" s="20" t="s">
        <v>32</v>
      </c>
      <c r="T76" s="20">
        <v>14337.52</v>
      </c>
      <c r="U76" s="20" t="s">
        <v>39</v>
      </c>
      <c r="V76" s="25">
        <v>44494.508344907401</v>
      </c>
      <c r="W76" s="20" t="s">
        <v>34</v>
      </c>
      <c r="X76" s="20"/>
      <c r="Y76" s="26">
        <v>45.6241666655405</v>
      </c>
      <c r="Z76" s="22" t="s">
        <v>35</v>
      </c>
      <c r="AA76" s="27" t="s">
        <v>34</v>
      </c>
      <c r="AB76" s="27" t="s">
        <v>31</v>
      </c>
      <c r="AC76" s="28" t="s">
        <v>31</v>
      </c>
      <c r="AD76" s="28" t="s">
        <v>31</v>
      </c>
    </row>
    <row r="77" spans="1:30" ht="14.55" customHeight="1" x14ac:dyDescent="0.4">
      <c r="A77" s="20">
        <v>1</v>
      </c>
      <c r="B77" s="20">
        <v>78</v>
      </c>
      <c r="C77" s="29">
        <v>63</v>
      </c>
      <c r="D77" s="22" t="s">
        <v>30</v>
      </c>
      <c r="E77" s="22">
        <v>0</v>
      </c>
      <c r="F77" s="22">
        <v>0</v>
      </c>
      <c r="G77" s="22">
        <v>1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3">
        <v>43988.595833333296</v>
      </c>
      <c r="O77" s="23">
        <v>43996</v>
      </c>
      <c r="P77" s="24">
        <f t="shared" si="1"/>
        <v>8.4041666667035297</v>
      </c>
      <c r="Q77" s="20" t="s">
        <v>31</v>
      </c>
      <c r="R77" s="20" t="s">
        <v>31</v>
      </c>
      <c r="S77" s="20" t="s">
        <v>32</v>
      </c>
      <c r="T77" s="20">
        <v>8833.93</v>
      </c>
      <c r="U77" s="20" t="s">
        <v>36</v>
      </c>
      <c r="V77" s="25">
        <v>43993.501435185201</v>
      </c>
      <c r="W77" s="20" t="s">
        <v>34</v>
      </c>
      <c r="X77" s="20"/>
      <c r="Y77" s="26">
        <v>48.161944444756998</v>
      </c>
      <c r="Z77" s="22" t="s">
        <v>35</v>
      </c>
      <c r="AA77" s="27" t="s">
        <v>34</v>
      </c>
      <c r="AB77" s="27" t="s">
        <v>31</v>
      </c>
      <c r="AC77" s="28" t="s">
        <v>31</v>
      </c>
      <c r="AD77" s="28" t="s">
        <v>31</v>
      </c>
    </row>
    <row r="78" spans="1:30" ht="14.55" customHeight="1" x14ac:dyDescent="0.4">
      <c r="A78" s="20">
        <v>1</v>
      </c>
      <c r="B78" s="20">
        <v>79</v>
      </c>
      <c r="C78" s="29">
        <v>64</v>
      </c>
      <c r="D78" s="22" t="s">
        <v>38</v>
      </c>
      <c r="E78" s="22">
        <v>0</v>
      </c>
      <c r="F78" s="22">
        <v>1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3">
        <v>44473.588194444397</v>
      </c>
      <c r="O78" s="23">
        <v>44481</v>
      </c>
      <c r="P78" s="24">
        <f t="shared" si="1"/>
        <v>8.4118055556027702</v>
      </c>
      <c r="Q78" s="20" t="s">
        <v>31</v>
      </c>
      <c r="R78" s="20" t="s">
        <v>31</v>
      </c>
      <c r="S78" s="20" t="s">
        <v>32</v>
      </c>
      <c r="T78" s="20">
        <v>9249.7900000000009</v>
      </c>
      <c r="U78" s="20" t="s">
        <v>36</v>
      </c>
      <c r="V78" s="25">
        <v>44478.483391203699</v>
      </c>
      <c r="W78" s="20" t="s">
        <v>34</v>
      </c>
      <c r="X78" s="20"/>
      <c r="Y78" s="26">
        <v>239.241666667163</v>
      </c>
      <c r="Z78" s="22" t="s">
        <v>35</v>
      </c>
      <c r="AA78" s="27" t="s">
        <v>34</v>
      </c>
      <c r="AB78" s="27" t="s">
        <v>31</v>
      </c>
      <c r="AC78" s="28" t="s">
        <v>31</v>
      </c>
      <c r="AD78" s="28" t="s">
        <v>31</v>
      </c>
    </row>
    <row r="79" spans="1:30" ht="14.55" customHeight="1" x14ac:dyDescent="0.4">
      <c r="A79" s="20">
        <v>1</v>
      </c>
      <c r="B79" s="20">
        <v>80</v>
      </c>
      <c r="C79" s="29">
        <v>65</v>
      </c>
      <c r="D79" s="22" t="s">
        <v>30</v>
      </c>
      <c r="E79" s="22">
        <v>0</v>
      </c>
      <c r="F79" s="22">
        <v>1</v>
      </c>
      <c r="G79" s="22">
        <v>0</v>
      </c>
      <c r="H79" s="22">
        <v>1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3">
        <v>44524.662499999999</v>
      </c>
      <c r="O79" s="23">
        <v>44532</v>
      </c>
      <c r="P79" s="24">
        <f t="shared" si="1"/>
        <v>8.3375000000014605</v>
      </c>
      <c r="Q79" s="20" t="s">
        <v>31</v>
      </c>
      <c r="R79" s="20" t="s">
        <v>31</v>
      </c>
      <c r="S79" s="20" t="s">
        <v>32</v>
      </c>
      <c r="T79" s="20">
        <v>9720.01</v>
      </c>
      <c r="U79" s="20" t="s">
        <v>39</v>
      </c>
      <c r="V79" s="25">
        <v>44529.5781712963</v>
      </c>
      <c r="W79" s="20" t="s">
        <v>34</v>
      </c>
      <c r="X79" s="20"/>
      <c r="Y79" s="26">
        <v>43.595555556064902</v>
      </c>
      <c r="Z79" s="22" t="s">
        <v>35</v>
      </c>
      <c r="AA79" s="27" t="s">
        <v>34</v>
      </c>
      <c r="AB79" s="27" t="s">
        <v>31</v>
      </c>
      <c r="AC79" s="28" t="s">
        <v>31</v>
      </c>
      <c r="AD79" s="28" t="s">
        <v>31</v>
      </c>
    </row>
    <row r="80" spans="1:30" ht="14.55" customHeight="1" x14ac:dyDescent="0.4">
      <c r="A80" s="20">
        <v>1</v>
      </c>
      <c r="B80" s="20">
        <v>81</v>
      </c>
      <c r="C80" s="29">
        <v>59</v>
      </c>
      <c r="D80" s="22" t="s">
        <v>38</v>
      </c>
      <c r="E80" s="22">
        <v>0</v>
      </c>
      <c r="F80" s="22">
        <v>1</v>
      </c>
      <c r="G80" s="22">
        <v>0</v>
      </c>
      <c r="H80" s="22">
        <v>1</v>
      </c>
      <c r="I80" s="22">
        <v>0</v>
      </c>
      <c r="J80" s="22">
        <v>0</v>
      </c>
      <c r="K80" s="22">
        <v>1</v>
      </c>
      <c r="L80" s="22">
        <v>0</v>
      </c>
      <c r="M80" s="22">
        <v>0</v>
      </c>
      <c r="N80" s="23">
        <v>44488.605555555601</v>
      </c>
      <c r="O80" s="23">
        <v>44501</v>
      </c>
      <c r="P80" s="24">
        <f t="shared" si="1"/>
        <v>13.394444444398699</v>
      </c>
      <c r="Q80" s="20" t="s">
        <v>31</v>
      </c>
      <c r="R80" s="20" t="s">
        <v>31</v>
      </c>
      <c r="S80" s="20" t="s">
        <v>32</v>
      </c>
      <c r="T80" s="20">
        <v>13185.69</v>
      </c>
      <c r="U80" s="20" t="s">
        <v>36</v>
      </c>
      <c r="V80" s="25">
        <v>44496.514606481498</v>
      </c>
      <c r="W80" s="20" t="s">
        <v>41</v>
      </c>
      <c r="X80" s="20"/>
      <c r="Y80" s="26">
        <v>69.631666665722193</v>
      </c>
      <c r="Z80" s="22" t="s">
        <v>35</v>
      </c>
      <c r="AA80" s="27">
        <v>1</v>
      </c>
      <c r="AB80" s="27" t="s">
        <v>31</v>
      </c>
      <c r="AC80" s="28">
        <v>1</v>
      </c>
      <c r="AD80" s="28" t="s">
        <v>31</v>
      </c>
    </row>
    <row r="81" spans="1:30" ht="14.55" customHeight="1" x14ac:dyDescent="0.4">
      <c r="A81" s="20">
        <v>1</v>
      </c>
      <c r="B81" s="20">
        <v>82</v>
      </c>
      <c r="C81" s="29">
        <v>63</v>
      </c>
      <c r="D81" s="22" t="s">
        <v>30</v>
      </c>
      <c r="E81" s="22">
        <v>0</v>
      </c>
      <c r="F81" s="22">
        <v>1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3">
        <v>44216.677777777797</v>
      </c>
      <c r="O81" s="23">
        <v>44229</v>
      </c>
      <c r="P81" s="24">
        <f t="shared" si="1"/>
        <v>13.322222222202999</v>
      </c>
      <c r="Q81" s="20" t="s">
        <v>31</v>
      </c>
      <c r="R81" s="20" t="s">
        <v>31</v>
      </c>
      <c r="S81" s="20" t="s">
        <v>32</v>
      </c>
      <c r="T81" s="20">
        <v>12597.34</v>
      </c>
      <c r="U81" s="20" t="s">
        <v>36</v>
      </c>
      <c r="V81" s="25">
        <v>44221.480081018497</v>
      </c>
      <c r="W81" s="20" t="s">
        <v>34</v>
      </c>
      <c r="X81" s="20"/>
      <c r="Y81" s="26">
        <v>47.686111111252103</v>
      </c>
      <c r="Z81" s="22" t="s">
        <v>35</v>
      </c>
      <c r="AA81" s="27" t="s">
        <v>34</v>
      </c>
      <c r="AB81" s="27" t="s">
        <v>31</v>
      </c>
      <c r="AC81" s="28" t="s">
        <v>31</v>
      </c>
      <c r="AD81" s="28" t="s">
        <v>31</v>
      </c>
    </row>
    <row r="82" spans="1:30" ht="14.55" customHeight="1" x14ac:dyDescent="0.4">
      <c r="A82" s="20">
        <v>1</v>
      </c>
      <c r="B82" s="20">
        <v>83</v>
      </c>
      <c r="C82" s="29">
        <v>66</v>
      </c>
      <c r="D82" s="22" t="s">
        <v>30</v>
      </c>
      <c r="E82" s="22">
        <v>0</v>
      </c>
      <c r="F82" s="22">
        <v>1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3">
        <v>44211.612500000003</v>
      </c>
      <c r="O82" s="23">
        <v>44221</v>
      </c>
      <c r="P82" s="24">
        <f t="shared" si="1"/>
        <v>10.3874999999971</v>
      </c>
      <c r="Q82" s="20" t="s">
        <v>31</v>
      </c>
      <c r="R82" s="20" t="s">
        <v>31</v>
      </c>
      <c r="S82" s="20" t="s">
        <v>32</v>
      </c>
      <c r="T82" s="20">
        <v>15505.44</v>
      </c>
      <c r="U82" s="20" t="s">
        <v>39</v>
      </c>
      <c r="V82" s="25">
        <v>44217.490347222199</v>
      </c>
      <c r="W82" s="20" t="s">
        <v>34</v>
      </c>
      <c r="X82" s="20"/>
      <c r="Y82" s="26">
        <v>268.53222222241999</v>
      </c>
      <c r="Z82" s="22" t="s">
        <v>35</v>
      </c>
      <c r="AA82" s="27" t="s">
        <v>34</v>
      </c>
      <c r="AB82" s="27" t="s">
        <v>31</v>
      </c>
      <c r="AC82" s="28" t="s">
        <v>31</v>
      </c>
      <c r="AD82" s="28" t="s">
        <v>31</v>
      </c>
    </row>
    <row r="83" spans="1:30" ht="14.55" customHeight="1" x14ac:dyDescent="0.4">
      <c r="A83" s="20">
        <v>1</v>
      </c>
      <c r="B83" s="20">
        <v>84</v>
      </c>
      <c r="C83" s="29">
        <v>60</v>
      </c>
      <c r="D83" s="22" t="s">
        <v>38</v>
      </c>
      <c r="E83" s="22">
        <v>0</v>
      </c>
      <c r="F83" s="22">
        <v>1</v>
      </c>
      <c r="G83" s="22">
        <v>0</v>
      </c>
      <c r="H83" s="22">
        <v>1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3">
        <v>44257.665972222203</v>
      </c>
      <c r="O83" s="23">
        <v>44267</v>
      </c>
      <c r="P83" s="24">
        <f t="shared" si="1"/>
        <v>10.334027777797001</v>
      </c>
      <c r="Q83" s="20" t="s">
        <v>31</v>
      </c>
      <c r="R83" s="20" t="s">
        <v>31</v>
      </c>
      <c r="S83" s="20" t="s">
        <v>32</v>
      </c>
      <c r="T83" s="20">
        <v>15206.67</v>
      </c>
      <c r="U83" s="20" t="s">
        <v>40</v>
      </c>
      <c r="V83" s="25">
        <v>44264.458969907399</v>
      </c>
      <c r="W83" s="20" t="s">
        <v>34</v>
      </c>
      <c r="X83" s="20"/>
      <c r="Y83" s="26">
        <v>239.85027777840199</v>
      </c>
      <c r="Z83" s="22" t="s">
        <v>35</v>
      </c>
      <c r="AA83" s="27" t="s">
        <v>34</v>
      </c>
      <c r="AB83" s="27" t="s">
        <v>31</v>
      </c>
      <c r="AC83" s="28" t="s">
        <v>31</v>
      </c>
      <c r="AD83" s="28" t="s">
        <v>31</v>
      </c>
    </row>
    <row r="84" spans="1:30" ht="14.55" customHeight="1" x14ac:dyDescent="0.4">
      <c r="A84" s="20">
        <v>1</v>
      </c>
      <c r="B84" s="20">
        <v>85</v>
      </c>
      <c r="C84" s="29">
        <v>57</v>
      </c>
      <c r="D84" s="22" t="s">
        <v>30</v>
      </c>
      <c r="E84" s="22">
        <v>0</v>
      </c>
      <c r="F84" s="22">
        <v>1</v>
      </c>
      <c r="G84" s="22">
        <v>0</v>
      </c>
      <c r="H84" s="22">
        <v>0</v>
      </c>
      <c r="I84" s="22">
        <v>0</v>
      </c>
      <c r="J84" s="22">
        <v>1</v>
      </c>
      <c r="K84" s="22">
        <v>0</v>
      </c>
      <c r="L84" s="22">
        <v>0</v>
      </c>
      <c r="M84" s="22">
        <v>0</v>
      </c>
      <c r="N84" s="23">
        <v>44302.655555555597</v>
      </c>
      <c r="O84" s="23">
        <v>44313</v>
      </c>
      <c r="P84" s="24">
        <f t="shared" si="1"/>
        <v>11.3444444444031</v>
      </c>
      <c r="Q84" s="20" t="s">
        <v>31</v>
      </c>
      <c r="R84" s="20" t="s">
        <v>31</v>
      </c>
      <c r="S84" s="20" t="s">
        <v>32</v>
      </c>
      <c r="T84" s="20">
        <v>211118.14</v>
      </c>
      <c r="U84" s="20" t="s">
        <v>33</v>
      </c>
      <c r="V84" s="25">
        <v>44303.698020833297</v>
      </c>
      <c r="W84" s="20" t="s">
        <v>34</v>
      </c>
      <c r="X84" s="20"/>
      <c r="Y84" s="26">
        <v>41.848333334550297</v>
      </c>
      <c r="Z84" s="22" t="s">
        <v>35</v>
      </c>
      <c r="AA84" s="27" t="s">
        <v>34</v>
      </c>
      <c r="AB84" s="27" t="s">
        <v>31</v>
      </c>
      <c r="AC84" s="28" t="s">
        <v>31</v>
      </c>
      <c r="AD84" s="28" t="s">
        <v>31</v>
      </c>
    </row>
    <row r="85" spans="1:30" ht="14.55" customHeight="1" x14ac:dyDescent="0.4">
      <c r="A85" s="20">
        <v>1</v>
      </c>
      <c r="B85" s="20">
        <v>86</v>
      </c>
      <c r="C85" s="29">
        <v>65</v>
      </c>
      <c r="D85" s="22" t="s">
        <v>30</v>
      </c>
      <c r="E85" s="22">
        <v>0</v>
      </c>
      <c r="F85" s="22">
        <v>0</v>
      </c>
      <c r="G85" s="22">
        <v>0</v>
      </c>
      <c r="H85" s="22">
        <v>1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3">
        <v>44170.399305555598</v>
      </c>
      <c r="O85" s="23">
        <v>44195</v>
      </c>
      <c r="P85" s="24">
        <f t="shared" si="1"/>
        <v>25.600694444401601</v>
      </c>
      <c r="Q85" s="20" t="s">
        <v>31</v>
      </c>
      <c r="R85" s="20" t="s">
        <v>31</v>
      </c>
      <c r="S85" s="20" t="s">
        <v>32</v>
      </c>
      <c r="T85" s="20">
        <v>122345.26</v>
      </c>
      <c r="U85" s="20" t="s">
        <v>36</v>
      </c>
      <c r="V85" s="25">
        <v>44177.687662037002</v>
      </c>
      <c r="W85" s="20" t="s">
        <v>34</v>
      </c>
      <c r="X85" s="20"/>
      <c r="Y85" s="26">
        <v>40.765000000828898</v>
      </c>
      <c r="Z85" s="22" t="s">
        <v>35</v>
      </c>
      <c r="AA85" s="27" t="s">
        <v>34</v>
      </c>
      <c r="AB85" s="27" t="s">
        <v>31</v>
      </c>
      <c r="AC85" s="28" t="s">
        <v>31</v>
      </c>
      <c r="AD85" s="28" t="s">
        <v>31</v>
      </c>
    </row>
    <row r="86" spans="1:30" ht="14.55" customHeight="1" x14ac:dyDescent="0.4">
      <c r="A86" s="20">
        <v>1</v>
      </c>
      <c r="B86" s="20">
        <v>87</v>
      </c>
      <c r="C86" s="29">
        <v>60</v>
      </c>
      <c r="D86" s="22" t="s">
        <v>38</v>
      </c>
      <c r="E86" s="22">
        <v>1</v>
      </c>
      <c r="F86" s="22">
        <v>1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3">
        <v>44051.603472222203</v>
      </c>
      <c r="O86" s="23">
        <v>44064</v>
      </c>
      <c r="P86" s="24">
        <f t="shared" si="1"/>
        <v>13.396527777797001</v>
      </c>
      <c r="Q86" s="20" t="s">
        <v>31</v>
      </c>
      <c r="R86" s="20" t="s">
        <v>31</v>
      </c>
      <c r="S86" s="20" t="s">
        <v>32</v>
      </c>
      <c r="T86" s="26">
        <v>17119</v>
      </c>
      <c r="U86" s="20" t="s">
        <v>36</v>
      </c>
      <c r="V86" s="25">
        <v>44062.486712963</v>
      </c>
      <c r="W86" s="20" t="s">
        <v>34</v>
      </c>
      <c r="X86" s="20"/>
      <c r="Y86" s="26">
        <v>48.464166664809497</v>
      </c>
      <c r="Z86" s="22" t="s">
        <v>35</v>
      </c>
      <c r="AA86" s="27" t="s">
        <v>34</v>
      </c>
      <c r="AB86" s="27" t="s">
        <v>31</v>
      </c>
      <c r="AC86" s="28" t="s">
        <v>31</v>
      </c>
      <c r="AD86" s="28" t="s">
        <v>31</v>
      </c>
    </row>
    <row r="87" spans="1:30" ht="14.55" customHeight="1" x14ac:dyDescent="0.4">
      <c r="A87" s="20">
        <v>1</v>
      </c>
      <c r="B87" s="20">
        <v>88</v>
      </c>
      <c r="C87" s="29">
        <v>69</v>
      </c>
      <c r="D87" s="22" t="s">
        <v>38</v>
      </c>
      <c r="E87" s="22">
        <v>0</v>
      </c>
      <c r="F87" s="22">
        <v>1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3">
        <v>44305.621527777803</v>
      </c>
      <c r="O87" s="23">
        <v>44313</v>
      </c>
      <c r="P87" s="24">
        <f t="shared" si="1"/>
        <v>8.3784722221971606</v>
      </c>
      <c r="Q87" s="20" t="s">
        <v>31</v>
      </c>
      <c r="R87" s="20" t="s">
        <v>31</v>
      </c>
      <c r="S87" s="20" t="s">
        <v>32</v>
      </c>
      <c r="T87" s="20">
        <v>9492.2900000000009</v>
      </c>
      <c r="U87" s="20" t="s">
        <v>40</v>
      </c>
      <c r="V87" s="25">
        <v>44309.484710648103</v>
      </c>
      <c r="W87" s="20" t="s">
        <v>34</v>
      </c>
      <c r="X87" s="20"/>
      <c r="Y87" s="26">
        <v>45.6427777799545</v>
      </c>
      <c r="Z87" s="22" t="s">
        <v>35</v>
      </c>
      <c r="AA87" s="27" t="s">
        <v>34</v>
      </c>
      <c r="AB87" s="27" t="s">
        <v>31</v>
      </c>
      <c r="AC87" s="28" t="s">
        <v>31</v>
      </c>
      <c r="AD87" s="28" t="s">
        <v>31</v>
      </c>
    </row>
    <row r="88" spans="1:30" ht="14.55" customHeight="1" x14ac:dyDescent="0.4">
      <c r="A88" s="20">
        <v>1</v>
      </c>
      <c r="B88" s="20">
        <v>89</v>
      </c>
      <c r="C88" s="29">
        <v>66</v>
      </c>
      <c r="D88" s="22" t="s">
        <v>38</v>
      </c>
      <c r="E88" s="22">
        <v>0</v>
      </c>
      <c r="F88" s="22">
        <v>1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3">
        <v>44412.626388888901</v>
      </c>
      <c r="O88" s="23">
        <v>44419</v>
      </c>
      <c r="P88" s="24">
        <f t="shared" si="1"/>
        <v>7.3736111110993097</v>
      </c>
      <c r="Q88" s="20" t="s">
        <v>31</v>
      </c>
      <c r="R88" s="20" t="s">
        <v>31</v>
      </c>
      <c r="S88" s="20" t="s">
        <v>32</v>
      </c>
      <c r="T88" s="20">
        <v>10306.11</v>
      </c>
      <c r="U88" s="20" t="s">
        <v>39</v>
      </c>
      <c r="V88" s="25">
        <v>44417.494224536997</v>
      </c>
      <c r="W88" s="20" t="s">
        <v>34</v>
      </c>
      <c r="X88" s="20"/>
      <c r="Y88" s="26">
        <v>244.051944446401</v>
      </c>
      <c r="Z88" s="22" t="s">
        <v>35</v>
      </c>
      <c r="AA88" s="27" t="s">
        <v>34</v>
      </c>
      <c r="AB88" s="27" t="s">
        <v>31</v>
      </c>
      <c r="AC88" s="28" t="s">
        <v>31</v>
      </c>
      <c r="AD88" s="28" t="s">
        <v>31</v>
      </c>
    </row>
    <row r="89" spans="1:30" ht="14.55" customHeight="1" x14ac:dyDescent="0.4">
      <c r="A89" s="20">
        <v>1</v>
      </c>
      <c r="B89" s="20">
        <v>90</v>
      </c>
      <c r="C89" s="29">
        <v>67</v>
      </c>
      <c r="D89" s="22" t="s">
        <v>38</v>
      </c>
      <c r="E89" s="22">
        <v>0</v>
      </c>
      <c r="F89" s="22">
        <v>1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3">
        <v>44550.638888888898</v>
      </c>
      <c r="O89" s="23">
        <v>44555</v>
      </c>
      <c r="P89" s="24">
        <f t="shared" si="1"/>
        <v>5.3611111111022201</v>
      </c>
      <c r="Q89" s="20" t="s">
        <v>31</v>
      </c>
      <c r="R89" s="20" t="s">
        <v>31</v>
      </c>
      <c r="S89" s="20" t="s">
        <v>32</v>
      </c>
      <c r="T89" s="20">
        <v>7707.63</v>
      </c>
      <c r="U89" s="20" t="s">
        <v>36</v>
      </c>
      <c r="V89" s="25">
        <v>44553.435277777797</v>
      </c>
      <c r="W89" s="20" t="s">
        <v>34</v>
      </c>
      <c r="X89" s="20"/>
      <c r="Y89" s="26">
        <v>46.951111111266101</v>
      </c>
      <c r="Z89" s="22" t="s">
        <v>35</v>
      </c>
      <c r="AA89" s="27" t="s">
        <v>34</v>
      </c>
      <c r="AB89" s="27" t="s">
        <v>31</v>
      </c>
      <c r="AC89" s="28" t="s">
        <v>31</v>
      </c>
      <c r="AD89" s="28" t="s">
        <v>31</v>
      </c>
    </row>
    <row r="90" spans="1:30" ht="14.55" customHeight="1" x14ac:dyDescent="0.4">
      <c r="A90" s="20">
        <v>1</v>
      </c>
      <c r="B90" s="20">
        <v>91</v>
      </c>
      <c r="C90" s="29">
        <v>59</v>
      </c>
      <c r="D90" s="22" t="s">
        <v>30</v>
      </c>
      <c r="E90" s="22">
        <v>0</v>
      </c>
      <c r="F90" s="22">
        <v>0</v>
      </c>
      <c r="G90" s="22">
        <v>1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3">
        <v>44544.609027777798</v>
      </c>
      <c r="O90" s="23">
        <v>44561</v>
      </c>
      <c r="P90" s="24">
        <f t="shared" si="1"/>
        <v>17.390972222201501</v>
      </c>
      <c r="Q90" s="20" t="s">
        <v>31</v>
      </c>
      <c r="R90" s="20" t="s">
        <v>31</v>
      </c>
      <c r="S90" s="20" t="s">
        <v>32</v>
      </c>
      <c r="T90" s="20">
        <v>55924.53</v>
      </c>
      <c r="U90" s="20" t="s">
        <v>33</v>
      </c>
      <c r="V90" s="25">
        <v>44547.686122685198</v>
      </c>
      <c r="W90" s="20" t="s">
        <v>34</v>
      </c>
      <c r="X90" s="20"/>
      <c r="Y90" s="26">
        <v>42.928333332063602</v>
      </c>
      <c r="Z90" s="22" t="s">
        <v>35</v>
      </c>
      <c r="AA90" s="27" t="s">
        <v>34</v>
      </c>
      <c r="AB90" s="27" t="s">
        <v>31</v>
      </c>
      <c r="AC90" s="28" t="s">
        <v>31</v>
      </c>
      <c r="AD90" s="28" t="s">
        <v>31</v>
      </c>
    </row>
    <row r="91" spans="1:30" ht="14.55" customHeight="1" x14ac:dyDescent="0.4">
      <c r="A91" s="20">
        <v>1</v>
      </c>
      <c r="B91" s="20">
        <v>92</v>
      </c>
      <c r="C91" s="29">
        <v>65</v>
      </c>
      <c r="D91" s="22" t="s">
        <v>38</v>
      </c>
      <c r="E91" s="22">
        <v>0</v>
      </c>
      <c r="F91" s="22">
        <v>1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3">
        <v>44138.588194444397</v>
      </c>
      <c r="O91" s="23">
        <v>44146</v>
      </c>
      <c r="P91" s="24">
        <f t="shared" si="1"/>
        <v>8.4118055556027702</v>
      </c>
      <c r="Q91" s="20" t="s">
        <v>31</v>
      </c>
      <c r="R91" s="20" t="s">
        <v>31</v>
      </c>
      <c r="S91" s="20" t="s">
        <v>32</v>
      </c>
      <c r="T91" s="20">
        <v>14489.57</v>
      </c>
      <c r="U91" s="22" t="s">
        <v>36</v>
      </c>
      <c r="V91" s="25">
        <v>44140.495138888902</v>
      </c>
      <c r="W91" s="20" t="s">
        <v>47</v>
      </c>
      <c r="X91" s="20"/>
      <c r="Y91" s="26">
        <v>124.528055556002</v>
      </c>
      <c r="Z91" s="22" t="s">
        <v>35</v>
      </c>
      <c r="AA91" s="27">
        <v>1</v>
      </c>
      <c r="AB91" s="27" t="s">
        <v>31</v>
      </c>
      <c r="AC91" s="28">
        <v>2</v>
      </c>
      <c r="AD91" s="28" t="s">
        <v>31</v>
      </c>
    </row>
    <row r="92" spans="1:30" ht="14.55" customHeight="1" x14ac:dyDescent="0.4">
      <c r="A92" s="20">
        <v>1</v>
      </c>
      <c r="B92" s="20">
        <v>93</v>
      </c>
      <c r="C92" s="29">
        <v>64</v>
      </c>
      <c r="D92" s="22" t="s">
        <v>38</v>
      </c>
      <c r="E92" s="22">
        <v>0</v>
      </c>
      <c r="F92" s="22">
        <v>1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3">
        <v>44505.593055555597</v>
      </c>
      <c r="O92" s="23">
        <v>44515</v>
      </c>
      <c r="P92" s="24">
        <f t="shared" si="1"/>
        <v>10.4069444444031</v>
      </c>
      <c r="Q92" s="20" t="s">
        <v>31</v>
      </c>
      <c r="R92" s="20" t="s">
        <v>31</v>
      </c>
      <c r="S92" s="20" t="s">
        <v>32</v>
      </c>
      <c r="T92" s="20">
        <v>9349.89</v>
      </c>
      <c r="U92" s="20" t="s">
        <v>40</v>
      </c>
      <c r="V92" s="25">
        <v>44509.702256944402</v>
      </c>
      <c r="W92" s="20" t="s">
        <v>34</v>
      </c>
      <c r="X92" s="20"/>
      <c r="Y92" s="26">
        <v>41.332222223980402</v>
      </c>
      <c r="Z92" s="22" t="s">
        <v>35</v>
      </c>
      <c r="AA92" s="27" t="s">
        <v>34</v>
      </c>
      <c r="AB92" s="27" t="s">
        <v>31</v>
      </c>
      <c r="AC92" s="28" t="s">
        <v>31</v>
      </c>
      <c r="AD92" s="28" t="s">
        <v>31</v>
      </c>
    </row>
    <row r="93" spans="1:30" ht="14.55" customHeight="1" x14ac:dyDescent="0.4">
      <c r="A93" s="20">
        <v>1</v>
      </c>
      <c r="B93" s="20">
        <v>94</v>
      </c>
      <c r="C93" s="29">
        <v>57</v>
      </c>
      <c r="D93" s="22" t="s">
        <v>30</v>
      </c>
      <c r="E93" s="22">
        <v>0</v>
      </c>
      <c r="F93" s="22">
        <v>1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3">
        <v>44526.6430555556</v>
      </c>
      <c r="O93" s="23">
        <v>44533</v>
      </c>
      <c r="P93" s="24">
        <f t="shared" si="1"/>
        <v>7.3569444444001402</v>
      </c>
      <c r="Q93" s="20" t="s">
        <v>31</v>
      </c>
      <c r="R93" s="20" t="s">
        <v>31</v>
      </c>
      <c r="S93" s="20" t="s">
        <v>32</v>
      </c>
      <c r="T93" s="20">
        <v>9312.41</v>
      </c>
      <c r="U93" s="20" t="s">
        <v>33</v>
      </c>
      <c r="V93" s="25">
        <v>44530.432534722197</v>
      </c>
      <c r="W93" s="20" t="s">
        <v>34</v>
      </c>
      <c r="X93" s="20"/>
      <c r="Y93" s="26">
        <v>47.540277777705299</v>
      </c>
      <c r="Z93" s="22" t="s">
        <v>35</v>
      </c>
      <c r="AA93" s="27" t="s">
        <v>34</v>
      </c>
      <c r="AB93" s="27" t="s">
        <v>31</v>
      </c>
      <c r="AC93" s="28" t="s">
        <v>31</v>
      </c>
      <c r="AD93" s="28" t="s">
        <v>31</v>
      </c>
    </row>
    <row r="94" spans="1:30" ht="14.55" customHeight="1" x14ac:dyDescent="0.4">
      <c r="A94" s="20">
        <v>1</v>
      </c>
      <c r="B94" s="20">
        <v>95</v>
      </c>
      <c r="C94" s="29">
        <v>63</v>
      </c>
      <c r="D94" s="22" t="s">
        <v>30</v>
      </c>
      <c r="E94" s="22">
        <v>0</v>
      </c>
      <c r="F94" s="22">
        <v>1</v>
      </c>
      <c r="G94" s="22">
        <v>1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3">
        <v>44441.640972222202</v>
      </c>
      <c r="O94" s="23">
        <v>44449</v>
      </c>
      <c r="P94" s="24">
        <f t="shared" si="1"/>
        <v>8.3590277777984703</v>
      </c>
      <c r="Q94" s="20" t="s">
        <v>31</v>
      </c>
      <c r="R94" s="20" t="s">
        <v>31</v>
      </c>
      <c r="S94" s="20" t="s">
        <v>32</v>
      </c>
      <c r="T94" s="20">
        <v>13026.83</v>
      </c>
      <c r="U94" s="20" t="s">
        <v>39</v>
      </c>
      <c r="V94" s="25">
        <v>44447.386793981503</v>
      </c>
      <c r="W94" s="20" t="s">
        <v>44</v>
      </c>
      <c r="X94" s="20"/>
      <c r="Y94" s="26">
        <v>70.9763888879679</v>
      </c>
      <c r="Z94" s="22" t="s">
        <v>35</v>
      </c>
      <c r="AA94" s="27">
        <v>1</v>
      </c>
      <c r="AB94" s="27" t="s">
        <v>31</v>
      </c>
      <c r="AC94" s="28">
        <v>1</v>
      </c>
      <c r="AD94" s="28" t="s">
        <v>31</v>
      </c>
    </row>
    <row r="95" spans="1:30" ht="14.55" customHeight="1" x14ac:dyDescent="0.4">
      <c r="A95" s="20">
        <v>1</v>
      </c>
      <c r="B95" s="20">
        <v>96</v>
      </c>
      <c r="C95" s="29">
        <v>55</v>
      </c>
      <c r="D95" s="22" t="s">
        <v>30</v>
      </c>
      <c r="E95" s="22">
        <v>0</v>
      </c>
      <c r="F95" s="22">
        <v>1</v>
      </c>
      <c r="G95" s="22">
        <v>0</v>
      </c>
      <c r="H95" s="22">
        <v>1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3">
        <v>44372.588194444397</v>
      </c>
      <c r="O95" s="23">
        <v>44385</v>
      </c>
      <c r="P95" s="24">
        <f t="shared" si="1"/>
        <v>13.4118055556028</v>
      </c>
      <c r="Q95" s="20" t="s">
        <v>31</v>
      </c>
      <c r="R95" s="20" t="s">
        <v>31</v>
      </c>
      <c r="S95" s="20" t="s">
        <v>32</v>
      </c>
      <c r="T95" s="20">
        <v>12610.08</v>
      </c>
      <c r="U95" s="20" t="s">
        <v>36</v>
      </c>
      <c r="V95" s="25">
        <v>44377.460925925901</v>
      </c>
      <c r="W95" s="20" t="s">
        <v>34</v>
      </c>
      <c r="X95" s="20"/>
      <c r="Y95" s="26">
        <v>50.1977777783177</v>
      </c>
      <c r="Z95" s="22" t="s">
        <v>35</v>
      </c>
      <c r="AA95" s="27" t="s">
        <v>34</v>
      </c>
      <c r="AB95" s="27" t="s">
        <v>31</v>
      </c>
      <c r="AC95" s="28" t="s">
        <v>31</v>
      </c>
      <c r="AD95" s="28" t="s">
        <v>31</v>
      </c>
    </row>
    <row r="96" spans="1:30" ht="14.55" customHeight="1" x14ac:dyDescent="0.4">
      <c r="A96" s="20">
        <v>1</v>
      </c>
      <c r="B96" s="20">
        <v>97</v>
      </c>
      <c r="C96" s="29">
        <v>63</v>
      </c>
      <c r="D96" s="22" t="s">
        <v>30</v>
      </c>
      <c r="E96" s="22">
        <v>0</v>
      </c>
      <c r="F96" s="22">
        <v>1</v>
      </c>
      <c r="G96" s="22">
        <v>0</v>
      </c>
      <c r="H96" s="22">
        <v>1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3">
        <v>44238.588194444397</v>
      </c>
      <c r="O96" s="23">
        <v>44261</v>
      </c>
      <c r="P96" s="24">
        <f t="shared" si="1"/>
        <v>23.4118055556028</v>
      </c>
      <c r="Q96" s="20" t="s">
        <v>31</v>
      </c>
      <c r="R96" s="20" t="s">
        <v>31</v>
      </c>
      <c r="S96" s="20" t="s">
        <v>32</v>
      </c>
      <c r="T96" s="20">
        <v>33655.82</v>
      </c>
      <c r="U96" s="20" t="s">
        <v>36</v>
      </c>
      <c r="V96" s="25">
        <v>44245.485787037003</v>
      </c>
      <c r="W96" s="20" t="s">
        <v>53</v>
      </c>
      <c r="X96" s="20"/>
      <c r="Y96" s="26">
        <v>92.974444444756998</v>
      </c>
      <c r="Z96" s="22" t="s">
        <v>35</v>
      </c>
      <c r="AA96" s="27">
        <v>1</v>
      </c>
      <c r="AB96" s="27" t="s">
        <v>31</v>
      </c>
      <c r="AC96" s="28">
        <v>1</v>
      </c>
      <c r="AD96" s="28" t="s">
        <v>31</v>
      </c>
    </row>
    <row r="97" spans="1:30" ht="14.55" customHeight="1" x14ac:dyDescent="0.4">
      <c r="A97" s="20">
        <v>1</v>
      </c>
      <c r="B97" s="20">
        <v>98</v>
      </c>
      <c r="C97" s="29">
        <v>58</v>
      </c>
      <c r="D97" s="22" t="s">
        <v>30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3">
        <v>44526.6652777778</v>
      </c>
      <c r="O97" s="23">
        <v>44547</v>
      </c>
      <c r="P97" s="24">
        <f t="shared" si="1"/>
        <v>21.334722222200099</v>
      </c>
      <c r="Q97" s="20" t="s">
        <v>31</v>
      </c>
      <c r="R97" s="20" t="s">
        <v>31</v>
      </c>
      <c r="S97" s="20" t="s">
        <v>32</v>
      </c>
      <c r="T97" s="20">
        <v>245479.08</v>
      </c>
      <c r="U97" s="20" t="s">
        <v>36</v>
      </c>
      <c r="V97" s="25">
        <v>44534.473657407398</v>
      </c>
      <c r="W97" s="20" t="s">
        <v>44</v>
      </c>
      <c r="X97" s="20"/>
      <c r="Y97" s="26">
        <v>69.433055556029998</v>
      </c>
      <c r="Z97" s="22" t="s">
        <v>35</v>
      </c>
      <c r="AA97" s="27">
        <v>1</v>
      </c>
      <c r="AB97" s="27" t="s">
        <v>31</v>
      </c>
      <c r="AC97" s="28">
        <v>1</v>
      </c>
      <c r="AD97" s="28" t="s">
        <v>31</v>
      </c>
    </row>
    <row r="98" spans="1:30" ht="14.55" customHeight="1" x14ac:dyDescent="0.4">
      <c r="A98" s="20">
        <v>1</v>
      </c>
      <c r="B98" s="20">
        <v>99</v>
      </c>
      <c r="C98" s="29">
        <v>68</v>
      </c>
      <c r="D98" s="22" t="s">
        <v>38</v>
      </c>
      <c r="E98" s="22">
        <v>0</v>
      </c>
      <c r="F98" s="22">
        <v>1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3">
        <v>44555.593055555597</v>
      </c>
      <c r="O98" s="23">
        <v>44560</v>
      </c>
      <c r="P98" s="24">
        <f t="shared" si="1"/>
        <v>5.4069444444030497</v>
      </c>
      <c r="Q98" s="20" t="s">
        <v>31</v>
      </c>
      <c r="R98" s="20" t="s">
        <v>31</v>
      </c>
      <c r="S98" s="20" t="s">
        <v>32</v>
      </c>
      <c r="T98" s="20">
        <v>11191.63</v>
      </c>
      <c r="U98" s="20" t="s">
        <v>40</v>
      </c>
      <c r="V98" s="25">
        <v>44559.561516203699</v>
      </c>
      <c r="W98" s="20" t="s">
        <v>34</v>
      </c>
      <c r="X98" s="20"/>
      <c r="Y98" s="26">
        <v>45.7213888895349</v>
      </c>
      <c r="Z98" s="22" t="s">
        <v>35</v>
      </c>
      <c r="AA98" s="27" t="s">
        <v>34</v>
      </c>
      <c r="AB98" s="27" t="s">
        <v>31</v>
      </c>
      <c r="AC98" s="28" t="s">
        <v>31</v>
      </c>
      <c r="AD98" s="28" t="s">
        <v>31</v>
      </c>
    </row>
    <row r="99" spans="1:30" ht="14.55" customHeight="1" x14ac:dyDescent="0.4">
      <c r="A99" s="20">
        <v>1</v>
      </c>
      <c r="B99" s="20">
        <v>100</v>
      </c>
      <c r="C99" s="29">
        <v>65</v>
      </c>
      <c r="D99" s="22" t="s">
        <v>30</v>
      </c>
      <c r="E99" s="22">
        <v>0</v>
      </c>
      <c r="F99" s="22">
        <v>1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3">
        <v>43966.596527777801</v>
      </c>
      <c r="O99" s="23">
        <v>43977</v>
      </c>
      <c r="P99" s="24">
        <f t="shared" si="1"/>
        <v>11.4034722221986</v>
      </c>
      <c r="Q99" s="20" t="s">
        <v>31</v>
      </c>
      <c r="R99" s="20" t="s">
        <v>31</v>
      </c>
      <c r="S99" s="20" t="s">
        <v>32</v>
      </c>
      <c r="T99" s="26">
        <v>12692.8</v>
      </c>
      <c r="U99" s="22" t="s">
        <v>36</v>
      </c>
      <c r="V99" s="25">
        <v>43973.498645833301</v>
      </c>
      <c r="W99" s="20" t="s">
        <v>53</v>
      </c>
      <c r="X99" s="20"/>
      <c r="Y99" s="26">
        <v>68.6191666679224</v>
      </c>
      <c r="Z99" s="22" t="s">
        <v>35</v>
      </c>
      <c r="AA99" s="27">
        <v>1</v>
      </c>
      <c r="AB99" s="27" t="s">
        <v>31</v>
      </c>
      <c r="AC99" s="28">
        <v>1</v>
      </c>
      <c r="AD99" s="28" t="s">
        <v>31</v>
      </c>
    </row>
    <row r="100" spans="1:30" ht="14.55" customHeight="1" x14ac:dyDescent="0.4">
      <c r="A100" s="20">
        <v>1</v>
      </c>
      <c r="B100" s="20">
        <v>101</v>
      </c>
      <c r="C100" s="29">
        <v>65</v>
      </c>
      <c r="D100" s="22" t="s">
        <v>30</v>
      </c>
      <c r="E100" s="22">
        <v>0</v>
      </c>
      <c r="F100" s="22">
        <v>1</v>
      </c>
      <c r="G100" s="22">
        <v>0</v>
      </c>
      <c r="H100" s="22">
        <v>1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3">
        <v>44993.570833333302</v>
      </c>
      <c r="O100" s="23">
        <v>45000</v>
      </c>
      <c r="P100" s="24">
        <f t="shared" si="1"/>
        <v>7.4291666666977099</v>
      </c>
      <c r="Q100" s="20" t="s">
        <v>31</v>
      </c>
      <c r="R100" s="20" t="s">
        <v>31</v>
      </c>
      <c r="S100" s="20" t="s">
        <v>32</v>
      </c>
      <c r="T100" s="20">
        <v>7151.64</v>
      </c>
      <c r="U100" s="20" t="s">
        <v>40</v>
      </c>
      <c r="V100" s="25">
        <v>44999.609155092599</v>
      </c>
      <c r="W100" s="20" t="s">
        <v>34</v>
      </c>
      <c r="X100" s="20"/>
      <c r="Y100" s="26">
        <v>43.565277777670403</v>
      </c>
      <c r="Z100" s="22" t="s">
        <v>35</v>
      </c>
      <c r="AA100" s="27" t="s">
        <v>34</v>
      </c>
      <c r="AB100" s="27" t="s">
        <v>31</v>
      </c>
      <c r="AC100" s="28" t="s">
        <v>31</v>
      </c>
      <c r="AD100" s="28" t="s">
        <v>31</v>
      </c>
    </row>
    <row r="101" spans="1:30" ht="14.55" customHeight="1" x14ac:dyDescent="0.4">
      <c r="A101" s="20">
        <v>1</v>
      </c>
      <c r="B101" s="20">
        <v>102</v>
      </c>
      <c r="C101" s="29">
        <v>58</v>
      </c>
      <c r="D101" s="22" t="s">
        <v>30</v>
      </c>
      <c r="E101" s="22">
        <v>0</v>
      </c>
      <c r="F101" s="22">
        <v>1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3">
        <v>44819.588888888902</v>
      </c>
      <c r="O101" s="23">
        <v>44826</v>
      </c>
      <c r="P101" s="24">
        <f t="shared" si="1"/>
        <v>7.41111111109785</v>
      </c>
      <c r="Q101" s="20" t="s">
        <v>31</v>
      </c>
      <c r="R101" s="20" t="s">
        <v>31</v>
      </c>
      <c r="S101" s="20" t="s">
        <v>32</v>
      </c>
      <c r="T101" s="20">
        <v>9869.5499999999993</v>
      </c>
      <c r="U101" s="22" t="s">
        <v>36</v>
      </c>
      <c r="V101" s="25">
        <v>44825.484849537002</v>
      </c>
      <c r="W101" s="20" t="s">
        <v>34</v>
      </c>
      <c r="X101" s="20"/>
      <c r="Y101" s="26">
        <v>46.347222223179401</v>
      </c>
      <c r="Z101" s="22" t="s">
        <v>35</v>
      </c>
      <c r="AA101" s="27" t="s">
        <v>34</v>
      </c>
      <c r="AB101" s="27" t="s">
        <v>31</v>
      </c>
      <c r="AC101" s="28" t="s">
        <v>31</v>
      </c>
      <c r="AD101" s="28" t="s">
        <v>31</v>
      </c>
    </row>
    <row r="102" spans="1:30" ht="14.55" customHeight="1" x14ac:dyDescent="0.4">
      <c r="A102" s="20">
        <v>1</v>
      </c>
      <c r="B102" s="20">
        <v>103</v>
      </c>
      <c r="C102" s="29">
        <v>61</v>
      </c>
      <c r="D102" s="22" t="s">
        <v>38</v>
      </c>
      <c r="E102" s="22">
        <v>0</v>
      </c>
      <c r="F102" s="22">
        <v>1</v>
      </c>
      <c r="G102" s="22">
        <v>1</v>
      </c>
      <c r="H102" s="22">
        <v>0</v>
      </c>
      <c r="I102" s="22">
        <v>1</v>
      </c>
      <c r="J102" s="22">
        <v>0</v>
      </c>
      <c r="K102" s="22">
        <v>0</v>
      </c>
      <c r="L102" s="22">
        <v>0</v>
      </c>
      <c r="M102" s="22">
        <v>0</v>
      </c>
      <c r="N102" s="23">
        <v>44827.628472222197</v>
      </c>
      <c r="O102" s="23">
        <v>44832</v>
      </c>
      <c r="P102" s="24">
        <f t="shared" si="1"/>
        <v>5.3715277778028403</v>
      </c>
      <c r="Q102" s="20" t="s">
        <v>31</v>
      </c>
      <c r="R102" s="20" t="s">
        <v>31</v>
      </c>
      <c r="S102" s="20" t="s">
        <v>32</v>
      </c>
      <c r="T102" s="26">
        <v>7256.8</v>
      </c>
      <c r="U102" s="20" t="s">
        <v>36</v>
      </c>
      <c r="V102" s="25">
        <v>44831.627048611103</v>
      </c>
      <c r="W102" s="20" t="s">
        <v>34</v>
      </c>
      <c r="X102" s="20"/>
      <c r="Y102" s="26">
        <v>42.5380555559532</v>
      </c>
      <c r="Z102" s="22" t="s">
        <v>35</v>
      </c>
      <c r="AA102" s="27" t="s">
        <v>34</v>
      </c>
      <c r="AB102" s="27" t="s">
        <v>31</v>
      </c>
      <c r="AC102" s="28" t="s">
        <v>31</v>
      </c>
      <c r="AD102" s="28" t="s">
        <v>31</v>
      </c>
    </row>
    <row r="103" spans="1:30" ht="14.55" customHeight="1" x14ac:dyDescent="0.4">
      <c r="A103" s="20">
        <v>1</v>
      </c>
      <c r="B103" s="20">
        <v>104</v>
      </c>
      <c r="C103" s="29">
        <v>55</v>
      </c>
      <c r="D103" s="22" t="s">
        <v>38</v>
      </c>
      <c r="E103" s="22">
        <v>0</v>
      </c>
      <c r="F103" s="22">
        <v>0</v>
      </c>
      <c r="G103" s="22">
        <v>1</v>
      </c>
      <c r="H103" s="22">
        <v>1</v>
      </c>
      <c r="I103" s="22">
        <v>0</v>
      </c>
      <c r="J103" s="22">
        <v>0</v>
      </c>
      <c r="K103" s="22">
        <v>0</v>
      </c>
      <c r="L103" s="22">
        <v>0</v>
      </c>
      <c r="M103" s="22">
        <v>1</v>
      </c>
      <c r="N103" s="23">
        <v>44976.588888888902</v>
      </c>
      <c r="O103" s="23">
        <v>44982</v>
      </c>
      <c r="P103" s="24">
        <f t="shared" si="1"/>
        <v>6.41111111109785</v>
      </c>
      <c r="Q103" s="20" t="s">
        <v>31</v>
      </c>
      <c r="R103" s="20" t="s">
        <v>31</v>
      </c>
      <c r="S103" s="20" t="s">
        <v>32</v>
      </c>
      <c r="T103" s="20">
        <v>8850.09</v>
      </c>
      <c r="U103" s="20" t="s">
        <v>33</v>
      </c>
      <c r="V103" s="25">
        <v>44981.483124999999</v>
      </c>
      <c r="W103" s="20" t="s">
        <v>34</v>
      </c>
      <c r="X103" s="20"/>
      <c r="Y103" s="26">
        <v>46.526388888072702</v>
      </c>
      <c r="Z103" s="22" t="s">
        <v>35</v>
      </c>
      <c r="AA103" s="27" t="s">
        <v>34</v>
      </c>
      <c r="AB103" s="27" t="s">
        <v>31</v>
      </c>
      <c r="AC103" s="28" t="s">
        <v>31</v>
      </c>
      <c r="AD103" s="28" t="s">
        <v>31</v>
      </c>
    </row>
    <row r="104" spans="1:30" ht="14.55" customHeight="1" x14ac:dyDescent="0.4">
      <c r="A104" s="20">
        <v>1</v>
      </c>
      <c r="B104" s="20">
        <v>105</v>
      </c>
      <c r="C104" s="29">
        <v>58</v>
      </c>
      <c r="D104" s="22" t="s">
        <v>30</v>
      </c>
      <c r="E104" s="22">
        <v>0</v>
      </c>
      <c r="F104" s="22">
        <v>0</v>
      </c>
      <c r="G104" s="22">
        <v>1</v>
      </c>
      <c r="H104" s="22">
        <v>0</v>
      </c>
      <c r="I104" s="22">
        <v>0</v>
      </c>
      <c r="J104" s="22">
        <v>0</v>
      </c>
      <c r="K104" s="22">
        <v>1</v>
      </c>
      <c r="L104" s="22">
        <v>0</v>
      </c>
      <c r="M104" s="22">
        <v>0</v>
      </c>
      <c r="N104" s="23">
        <v>44899.595138888901</v>
      </c>
      <c r="O104" s="23">
        <v>44907</v>
      </c>
      <c r="P104" s="24">
        <f t="shared" si="1"/>
        <v>8.4048611110993097</v>
      </c>
      <c r="Q104" s="20" t="s">
        <v>31</v>
      </c>
      <c r="R104" s="20" t="s">
        <v>31</v>
      </c>
      <c r="S104" s="20" t="s">
        <v>32</v>
      </c>
      <c r="T104" s="20">
        <v>8557.52</v>
      </c>
      <c r="U104" s="20" t="s">
        <v>36</v>
      </c>
      <c r="V104" s="25">
        <v>44904.546909722201</v>
      </c>
      <c r="W104" s="20" t="s">
        <v>34</v>
      </c>
      <c r="X104" s="20"/>
      <c r="Y104" s="26">
        <v>44.733333333511801</v>
      </c>
      <c r="Z104" s="22" t="s">
        <v>35</v>
      </c>
      <c r="AA104" s="27" t="s">
        <v>34</v>
      </c>
      <c r="AB104" s="27" t="s">
        <v>31</v>
      </c>
      <c r="AC104" s="28" t="s">
        <v>31</v>
      </c>
      <c r="AD104" s="28" t="s">
        <v>31</v>
      </c>
    </row>
    <row r="105" spans="1:30" ht="14.55" customHeight="1" x14ac:dyDescent="0.4">
      <c r="A105" s="20">
        <v>1</v>
      </c>
      <c r="B105" s="20">
        <v>106</v>
      </c>
      <c r="C105" s="29">
        <v>68</v>
      </c>
      <c r="D105" s="22" t="s">
        <v>30</v>
      </c>
      <c r="E105" s="22">
        <v>0</v>
      </c>
      <c r="F105" s="22">
        <v>1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3">
        <v>44848.629166666702</v>
      </c>
      <c r="O105" s="23">
        <v>44860</v>
      </c>
      <c r="P105" s="24">
        <f t="shared" si="1"/>
        <v>12.370833333297901</v>
      </c>
      <c r="Q105" s="20" t="s">
        <v>31</v>
      </c>
      <c r="R105" s="20" t="s">
        <v>31</v>
      </c>
      <c r="S105" s="20" t="s">
        <v>32</v>
      </c>
      <c r="T105" s="26">
        <v>16784.099999999999</v>
      </c>
      <c r="U105" s="20" t="s">
        <v>40</v>
      </c>
      <c r="V105" s="25">
        <v>44858.482152777797</v>
      </c>
      <c r="W105" s="20" t="s">
        <v>34</v>
      </c>
      <c r="X105" s="20"/>
      <c r="Y105" s="26">
        <v>46.839999998453997</v>
      </c>
      <c r="Z105" s="22" t="s">
        <v>35</v>
      </c>
      <c r="AA105" s="27" t="s">
        <v>34</v>
      </c>
      <c r="AB105" s="27" t="s">
        <v>31</v>
      </c>
      <c r="AC105" s="28" t="s">
        <v>31</v>
      </c>
      <c r="AD105" s="28" t="s">
        <v>31</v>
      </c>
    </row>
    <row r="106" spans="1:30" ht="14.55" customHeight="1" x14ac:dyDescent="0.4">
      <c r="A106" s="20">
        <v>1</v>
      </c>
      <c r="B106" s="20">
        <v>107</v>
      </c>
      <c r="C106" s="29">
        <v>58</v>
      </c>
      <c r="D106" s="22" t="s">
        <v>30</v>
      </c>
      <c r="E106" s="22">
        <v>0</v>
      </c>
      <c r="F106" s="22">
        <v>1</v>
      </c>
      <c r="G106" s="22">
        <v>1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3">
        <v>44964.635416666701</v>
      </c>
      <c r="O106" s="23">
        <v>44972</v>
      </c>
      <c r="P106" s="24">
        <f t="shared" si="1"/>
        <v>8.3645833332993806</v>
      </c>
      <c r="Q106" s="20" t="s">
        <v>31</v>
      </c>
      <c r="R106" s="20" t="s">
        <v>31</v>
      </c>
      <c r="S106" s="20" t="s">
        <v>32</v>
      </c>
      <c r="T106" s="20">
        <v>10475.14</v>
      </c>
      <c r="U106" s="20" t="s">
        <v>51</v>
      </c>
      <c r="V106" s="25">
        <v>44970.501724537004</v>
      </c>
      <c r="W106" s="20" t="s">
        <v>34</v>
      </c>
      <c r="X106" s="20"/>
      <c r="Y106" s="26">
        <v>46.995833335036899</v>
      </c>
      <c r="Z106" s="22" t="s">
        <v>35</v>
      </c>
      <c r="AA106" s="27" t="s">
        <v>34</v>
      </c>
      <c r="AB106" s="27" t="s">
        <v>31</v>
      </c>
      <c r="AC106" s="28" t="s">
        <v>31</v>
      </c>
      <c r="AD106" s="28" t="s">
        <v>31</v>
      </c>
    </row>
    <row r="107" spans="1:30" ht="14.55" customHeight="1" x14ac:dyDescent="0.4">
      <c r="A107" s="20">
        <v>1</v>
      </c>
      <c r="B107" s="20">
        <v>108</v>
      </c>
      <c r="C107" s="29">
        <v>63</v>
      </c>
      <c r="D107" s="22" t="s">
        <v>30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3">
        <v>44746.606249999997</v>
      </c>
      <c r="O107" s="23">
        <v>44751</v>
      </c>
      <c r="P107" s="24">
        <f t="shared" si="1"/>
        <v>5.3937500000029104</v>
      </c>
      <c r="Q107" s="20" t="s">
        <v>31</v>
      </c>
      <c r="R107" s="20" t="s">
        <v>31</v>
      </c>
      <c r="S107" s="20" t="s">
        <v>32</v>
      </c>
      <c r="T107" s="20">
        <v>7797.25</v>
      </c>
      <c r="U107" s="20" t="s">
        <v>36</v>
      </c>
      <c r="V107" s="25">
        <v>44749.637777777803</v>
      </c>
      <c r="W107" s="20" t="s">
        <v>34</v>
      </c>
      <c r="X107" s="20"/>
      <c r="Y107" s="26">
        <v>42.931666665477699</v>
      </c>
      <c r="Z107" s="22" t="s">
        <v>35</v>
      </c>
      <c r="AA107" s="27" t="s">
        <v>34</v>
      </c>
      <c r="AB107" s="27" t="s">
        <v>31</v>
      </c>
      <c r="AC107" s="28" t="s">
        <v>31</v>
      </c>
      <c r="AD107" s="28" t="s">
        <v>31</v>
      </c>
    </row>
    <row r="108" spans="1:30" ht="14.55" customHeight="1" x14ac:dyDescent="0.4">
      <c r="A108" s="20">
        <v>1</v>
      </c>
      <c r="B108" s="20">
        <v>110</v>
      </c>
      <c r="C108" s="29">
        <v>59</v>
      </c>
      <c r="D108" s="22" t="s">
        <v>38</v>
      </c>
      <c r="E108" s="22">
        <v>0</v>
      </c>
      <c r="F108" s="22">
        <v>1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3">
        <v>44799.595833333296</v>
      </c>
      <c r="O108" s="23">
        <v>44877</v>
      </c>
      <c r="P108" s="24">
        <f t="shared" si="1"/>
        <v>78.404166666703503</v>
      </c>
      <c r="Q108" s="20" t="s">
        <v>31</v>
      </c>
      <c r="R108" s="20" t="s">
        <v>31</v>
      </c>
      <c r="S108" s="20" t="s">
        <v>32</v>
      </c>
      <c r="T108" s="20">
        <v>128332.72</v>
      </c>
      <c r="U108" s="20" t="s">
        <v>36</v>
      </c>
      <c r="V108" s="25">
        <v>44847.460995370398</v>
      </c>
      <c r="W108" s="20" t="s">
        <v>54</v>
      </c>
      <c r="X108" s="20"/>
      <c r="Y108" s="26">
        <v>70.978888888901594</v>
      </c>
      <c r="Z108" s="22" t="s">
        <v>35</v>
      </c>
      <c r="AA108" s="27">
        <v>1</v>
      </c>
      <c r="AB108" s="27" t="s">
        <v>31</v>
      </c>
      <c r="AC108" s="28">
        <v>1</v>
      </c>
      <c r="AD108" s="28" t="s">
        <v>31</v>
      </c>
    </row>
    <row r="109" spans="1:30" ht="14.55" customHeight="1" x14ac:dyDescent="0.4">
      <c r="A109" s="20">
        <v>1</v>
      </c>
      <c r="B109" s="20">
        <v>111</v>
      </c>
      <c r="C109" s="29">
        <v>67</v>
      </c>
      <c r="D109" s="22" t="s">
        <v>30</v>
      </c>
      <c r="E109" s="22">
        <v>0</v>
      </c>
      <c r="F109" s="22">
        <v>1</v>
      </c>
      <c r="G109" s="22">
        <v>1</v>
      </c>
      <c r="H109" s="22">
        <v>1</v>
      </c>
      <c r="I109" s="22">
        <v>1</v>
      </c>
      <c r="J109" s="22">
        <v>0</v>
      </c>
      <c r="K109" s="22">
        <v>0</v>
      </c>
      <c r="L109" s="22">
        <v>0</v>
      </c>
      <c r="M109" s="22">
        <v>0</v>
      </c>
      <c r="N109" s="23">
        <v>44930.680555555598</v>
      </c>
      <c r="O109" s="23">
        <v>44966</v>
      </c>
      <c r="P109" s="24">
        <f t="shared" si="1"/>
        <v>36.319444444401597</v>
      </c>
      <c r="Q109" s="20" t="s">
        <v>31</v>
      </c>
      <c r="R109" s="20" t="s">
        <v>31</v>
      </c>
      <c r="S109" s="20" t="s">
        <v>32</v>
      </c>
      <c r="T109" s="20">
        <v>253636.46</v>
      </c>
      <c r="U109" s="20" t="s">
        <v>36</v>
      </c>
      <c r="V109" s="25">
        <v>44937.708252314798</v>
      </c>
      <c r="W109" s="20" t="s">
        <v>34</v>
      </c>
      <c r="X109" s="20"/>
      <c r="Y109" s="26">
        <v>42.045277778408497</v>
      </c>
      <c r="Z109" s="22" t="s">
        <v>35</v>
      </c>
      <c r="AA109" s="27" t="s">
        <v>34</v>
      </c>
      <c r="AB109" s="27" t="s">
        <v>31</v>
      </c>
      <c r="AC109" s="28" t="s">
        <v>31</v>
      </c>
      <c r="AD109" s="28" t="s">
        <v>31</v>
      </c>
    </row>
    <row r="110" spans="1:30" ht="14.55" customHeight="1" x14ac:dyDescent="0.4">
      <c r="A110" s="20">
        <v>1</v>
      </c>
      <c r="B110" s="20">
        <v>112</v>
      </c>
      <c r="C110" s="29">
        <v>63</v>
      </c>
      <c r="D110" s="22" t="s">
        <v>30</v>
      </c>
      <c r="E110" s="22">
        <v>0</v>
      </c>
      <c r="F110" s="22">
        <v>1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3">
        <v>44828.626388888901</v>
      </c>
      <c r="O110" s="23">
        <v>44835</v>
      </c>
      <c r="P110" s="24">
        <f t="shared" si="1"/>
        <v>7.3736111110993097</v>
      </c>
      <c r="Q110" s="20" t="s">
        <v>31</v>
      </c>
      <c r="R110" s="20" t="s">
        <v>31</v>
      </c>
      <c r="S110" s="20" t="s">
        <v>32</v>
      </c>
      <c r="T110" s="20">
        <v>12369.03</v>
      </c>
      <c r="U110" s="20" t="s">
        <v>39</v>
      </c>
      <c r="V110" s="25">
        <v>44834.484884259298</v>
      </c>
      <c r="W110" s="20" t="s">
        <v>34</v>
      </c>
      <c r="X110" s="20"/>
      <c r="Y110" s="26">
        <v>46.144999999261898</v>
      </c>
      <c r="Z110" s="22" t="s">
        <v>35</v>
      </c>
      <c r="AA110" s="27" t="s">
        <v>34</v>
      </c>
      <c r="AB110" s="27" t="s">
        <v>31</v>
      </c>
      <c r="AC110" s="28" t="s">
        <v>31</v>
      </c>
      <c r="AD110" s="28" t="s">
        <v>31</v>
      </c>
    </row>
    <row r="111" spans="1:30" ht="14.55" customHeight="1" x14ac:dyDescent="0.4">
      <c r="A111" s="20">
        <v>1</v>
      </c>
      <c r="B111" s="20">
        <v>113</v>
      </c>
      <c r="C111" s="29">
        <v>59</v>
      </c>
      <c r="D111" s="22" t="s">
        <v>38</v>
      </c>
      <c r="E111" s="22">
        <v>0</v>
      </c>
      <c r="F111" s="22">
        <v>1</v>
      </c>
      <c r="G111" s="22">
        <v>0</v>
      </c>
      <c r="H111" s="22">
        <v>1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3">
        <v>44994.619444444397</v>
      </c>
      <c r="O111" s="23">
        <v>45002</v>
      </c>
      <c r="P111" s="24">
        <f t="shared" si="1"/>
        <v>8.3805555556027702</v>
      </c>
      <c r="Q111" s="20" t="s">
        <v>31</v>
      </c>
      <c r="R111" s="20" t="s">
        <v>31</v>
      </c>
      <c r="S111" s="20" t="s">
        <v>32</v>
      </c>
      <c r="T111" s="20">
        <v>9139.91</v>
      </c>
      <c r="U111" s="20" t="s">
        <v>40</v>
      </c>
      <c r="V111" s="25">
        <v>44998.598668981504</v>
      </c>
      <c r="W111" s="20" t="s">
        <v>34</v>
      </c>
      <c r="X111" s="20"/>
      <c r="Y111" s="26">
        <v>43.5247222222388</v>
      </c>
      <c r="Z111" s="22" t="s">
        <v>35</v>
      </c>
      <c r="AA111" s="27" t="s">
        <v>34</v>
      </c>
      <c r="AB111" s="27" t="s">
        <v>31</v>
      </c>
      <c r="AC111" s="28" t="s">
        <v>31</v>
      </c>
      <c r="AD111" s="28" t="s">
        <v>31</v>
      </c>
    </row>
    <row r="112" spans="1:30" ht="14.55" customHeight="1" x14ac:dyDescent="0.4">
      <c r="A112" s="20">
        <v>1</v>
      </c>
      <c r="B112" s="20">
        <v>114</v>
      </c>
      <c r="C112" s="29">
        <v>67</v>
      </c>
      <c r="D112" s="22" t="s">
        <v>38</v>
      </c>
      <c r="E112" s="22">
        <v>0</v>
      </c>
      <c r="F112" s="22">
        <v>0</v>
      </c>
      <c r="G112" s="22">
        <v>0</v>
      </c>
      <c r="H112" s="22">
        <v>1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3">
        <v>44827.610416666699</v>
      </c>
      <c r="O112" s="23">
        <v>44835</v>
      </c>
      <c r="P112" s="24">
        <f t="shared" si="1"/>
        <v>8.3895833333008305</v>
      </c>
      <c r="Q112" s="20" t="s">
        <v>31</v>
      </c>
      <c r="R112" s="20" t="s">
        <v>31</v>
      </c>
      <c r="S112" s="20" t="s">
        <v>32</v>
      </c>
      <c r="T112" s="20">
        <v>16982.16</v>
      </c>
      <c r="U112" s="22" t="s">
        <v>39</v>
      </c>
      <c r="V112" s="25">
        <v>44832.495972222197</v>
      </c>
      <c r="W112" s="20" t="s">
        <v>44</v>
      </c>
      <c r="X112" s="20"/>
      <c r="Y112" s="26">
        <v>46.803611112059997</v>
      </c>
      <c r="Z112" s="22" t="s">
        <v>35</v>
      </c>
      <c r="AA112" s="27">
        <v>1</v>
      </c>
      <c r="AB112" s="27" t="s">
        <v>31</v>
      </c>
      <c r="AC112" s="28">
        <v>1</v>
      </c>
      <c r="AD112" s="28" t="s">
        <v>31</v>
      </c>
    </row>
    <row r="113" spans="1:30" ht="14.55" customHeight="1" x14ac:dyDescent="0.4">
      <c r="A113" s="20">
        <v>1</v>
      </c>
      <c r="B113" s="20">
        <v>115</v>
      </c>
      <c r="C113" s="29">
        <v>61</v>
      </c>
      <c r="D113" s="22" t="s">
        <v>38</v>
      </c>
      <c r="E113" s="22">
        <v>0</v>
      </c>
      <c r="F113" s="22">
        <v>1</v>
      </c>
      <c r="G113" s="22">
        <v>0</v>
      </c>
      <c r="H113" s="22">
        <v>1</v>
      </c>
      <c r="I113" s="22">
        <v>1</v>
      </c>
      <c r="J113" s="22">
        <v>0</v>
      </c>
      <c r="K113" s="22">
        <v>1</v>
      </c>
      <c r="L113" s="22">
        <v>0</v>
      </c>
      <c r="M113" s="22">
        <v>0</v>
      </c>
      <c r="N113" s="23">
        <v>44890.613194444399</v>
      </c>
      <c r="O113" s="23">
        <v>44898</v>
      </c>
      <c r="P113" s="24">
        <f t="shared" si="1"/>
        <v>8.3868055556013097</v>
      </c>
      <c r="Q113" s="20" t="s">
        <v>31</v>
      </c>
      <c r="R113" s="20" t="s">
        <v>31</v>
      </c>
      <c r="S113" s="20" t="s">
        <v>32</v>
      </c>
      <c r="T113" s="20">
        <v>9544.7199999999993</v>
      </c>
      <c r="U113" s="20" t="s">
        <v>36</v>
      </c>
      <c r="V113" s="25">
        <v>44896.517719907402</v>
      </c>
      <c r="W113" s="20" t="s">
        <v>34</v>
      </c>
      <c r="X113" s="20"/>
      <c r="Y113" s="26">
        <v>48.5413888895418</v>
      </c>
      <c r="Z113" s="22" t="s">
        <v>35</v>
      </c>
      <c r="AA113" s="27" t="s">
        <v>34</v>
      </c>
      <c r="AB113" s="27" t="s">
        <v>31</v>
      </c>
      <c r="AC113" s="28" t="s">
        <v>31</v>
      </c>
      <c r="AD113" s="28" t="s">
        <v>31</v>
      </c>
    </row>
    <row r="114" spans="1:30" ht="14.55" customHeight="1" x14ac:dyDescent="0.4">
      <c r="A114" s="20">
        <v>1</v>
      </c>
      <c r="B114" s="20">
        <v>116</v>
      </c>
      <c r="C114" s="29">
        <v>57</v>
      </c>
      <c r="D114" s="22" t="s">
        <v>38</v>
      </c>
      <c r="E114" s="22">
        <v>1</v>
      </c>
      <c r="F114" s="22">
        <v>1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3">
        <v>44906.15625</v>
      </c>
      <c r="O114" s="23">
        <v>44917</v>
      </c>
      <c r="P114" s="24">
        <f t="shared" si="1"/>
        <v>11.84375</v>
      </c>
      <c r="Q114" s="20" t="s">
        <v>31</v>
      </c>
      <c r="R114" s="20" t="s">
        <v>31</v>
      </c>
      <c r="S114" s="20" t="s">
        <v>32</v>
      </c>
      <c r="T114" s="20">
        <v>70421.19</v>
      </c>
      <c r="U114" s="20" t="s">
        <v>36</v>
      </c>
      <c r="V114" s="25">
        <v>44915.499027777798</v>
      </c>
      <c r="W114" s="20" t="s">
        <v>34</v>
      </c>
      <c r="X114" s="20"/>
      <c r="Y114" s="26">
        <v>45.197777776862502</v>
      </c>
      <c r="Z114" s="22" t="s">
        <v>35</v>
      </c>
      <c r="AA114" s="27" t="s">
        <v>34</v>
      </c>
      <c r="AB114" s="27" t="s">
        <v>31</v>
      </c>
      <c r="AC114" s="28" t="s">
        <v>31</v>
      </c>
      <c r="AD114" s="28" t="s">
        <v>31</v>
      </c>
    </row>
    <row r="115" spans="1:30" ht="14.55" customHeight="1" x14ac:dyDescent="0.4">
      <c r="A115" s="20">
        <v>1</v>
      </c>
      <c r="B115" s="20">
        <v>117</v>
      </c>
      <c r="C115" s="29">
        <v>60</v>
      </c>
      <c r="D115" s="22" t="s">
        <v>30</v>
      </c>
      <c r="E115" s="22">
        <v>0</v>
      </c>
      <c r="F115" s="22">
        <v>1</v>
      </c>
      <c r="G115" s="22">
        <v>1</v>
      </c>
      <c r="H115" s="22">
        <v>1</v>
      </c>
      <c r="I115" s="22">
        <v>0</v>
      </c>
      <c r="J115" s="22">
        <v>0</v>
      </c>
      <c r="K115" s="22">
        <v>0</v>
      </c>
      <c r="L115" s="22">
        <v>0</v>
      </c>
      <c r="M115" s="22">
        <v>1</v>
      </c>
      <c r="N115" s="23">
        <v>44979.6381944444</v>
      </c>
      <c r="O115" s="23">
        <v>44985</v>
      </c>
      <c r="P115" s="24">
        <f t="shared" si="1"/>
        <v>6.3618055555998598</v>
      </c>
      <c r="Q115" s="20" t="s">
        <v>31</v>
      </c>
      <c r="R115" s="20" t="s">
        <v>31</v>
      </c>
      <c r="S115" s="20" t="s">
        <v>32</v>
      </c>
      <c r="T115" s="20">
        <v>8575.92</v>
      </c>
      <c r="U115" s="20" t="s">
        <v>36</v>
      </c>
      <c r="V115" s="25">
        <v>44985.519756944399</v>
      </c>
      <c r="W115" s="20" t="s">
        <v>34</v>
      </c>
      <c r="X115" s="20"/>
      <c r="Y115" s="26">
        <v>46.142500000772998</v>
      </c>
      <c r="Z115" s="22" t="s">
        <v>35</v>
      </c>
      <c r="AA115" s="27" t="s">
        <v>34</v>
      </c>
      <c r="AB115" s="27" t="s">
        <v>31</v>
      </c>
      <c r="AC115" s="28" t="s">
        <v>31</v>
      </c>
      <c r="AD115" s="28" t="s">
        <v>31</v>
      </c>
    </row>
    <row r="116" spans="1:30" ht="14.55" customHeight="1" x14ac:dyDescent="0.4">
      <c r="A116" s="20">
        <v>1</v>
      </c>
      <c r="B116" s="20">
        <v>118</v>
      </c>
      <c r="C116" s="29">
        <v>55</v>
      </c>
      <c r="D116" s="22" t="s">
        <v>30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3">
        <v>44755.456250000003</v>
      </c>
      <c r="O116" s="23">
        <v>44760</v>
      </c>
      <c r="P116" s="24">
        <f t="shared" si="1"/>
        <v>5.5437499999970896</v>
      </c>
      <c r="Q116" s="20" t="s">
        <v>31</v>
      </c>
      <c r="R116" s="20" t="s">
        <v>31</v>
      </c>
      <c r="S116" s="20" t="s">
        <v>32</v>
      </c>
      <c r="T116" s="20">
        <v>36401.75</v>
      </c>
      <c r="U116" s="20" t="s">
        <v>36</v>
      </c>
      <c r="V116" s="25">
        <v>44757.466956018499</v>
      </c>
      <c r="W116" s="20" t="s">
        <v>55</v>
      </c>
      <c r="X116" s="20"/>
      <c r="Y116" s="26">
        <v>70.043888889660593</v>
      </c>
      <c r="Z116" s="22" t="s">
        <v>35</v>
      </c>
      <c r="AA116" s="27">
        <v>1</v>
      </c>
      <c r="AB116" s="27" t="s">
        <v>31</v>
      </c>
      <c r="AC116" s="28">
        <v>1</v>
      </c>
      <c r="AD116" s="28" t="s">
        <v>31</v>
      </c>
    </row>
    <row r="117" spans="1:30" ht="14.55" customHeight="1" x14ac:dyDescent="0.4">
      <c r="A117" s="20">
        <v>1</v>
      </c>
      <c r="B117" s="20">
        <v>119</v>
      </c>
      <c r="C117" s="29">
        <v>56</v>
      </c>
      <c r="D117" s="22" t="s">
        <v>38</v>
      </c>
      <c r="E117" s="22">
        <v>0</v>
      </c>
      <c r="F117" s="22">
        <v>1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3">
        <v>44749.5805555556</v>
      </c>
      <c r="O117" s="23">
        <v>44755</v>
      </c>
      <c r="P117" s="24">
        <f t="shared" si="1"/>
        <v>6.4194444444001402</v>
      </c>
      <c r="Q117" s="20" t="s">
        <v>31</v>
      </c>
      <c r="R117" s="20" t="s">
        <v>31</v>
      </c>
      <c r="S117" s="20" t="s">
        <v>32</v>
      </c>
      <c r="T117" s="20">
        <v>8421.2099999999991</v>
      </c>
      <c r="U117" s="20" t="s">
        <v>36</v>
      </c>
      <c r="V117" s="25">
        <v>44754.679756944402</v>
      </c>
      <c r="W117" s="20" t="s">
        <v>34</v>
      </c>
      <c r="X117" s="20"/>
      <c r="Y117" s="26">
        <v>41.365277779055802</v>
      </c>
      <c r="Z117" s="22" t="s">
        <v>35</v>
      </c>
      <c r="AA117" s="27" t="s">
        <v>34</v>
      </c>
      <c r="AB117" s="27" t="s">
        <v>31</v>
      </c>
      <c r="AC117" s="28" t="s">
        <v>31</v>
      </c>
      <c r="AD117" s="28" t="s">
        <v>31</v>
      </c>
    </row>
    <row r="118" spans="1:30" ht="14.55" customHeight="1" x14ac:dyDescent="0.4">
      <c r="A118" s="20">
        <v>1</v>
      </c>
      <c r="B118" s="20">
        <v>120</v>
      </c>
      <c r="C118" s="29">
        <v>69</v>
      </c>
      <c r="D118" s="22" t="s">
        <v>30</v>
      </c>
      <c r="E118" s="22">
        <v>0</v>
      </c>
      <c r="F118" s="22">
        <v>1</v>
      </c>
      <c r="G118" s="22">
        <v>1</v>
      </c>
      <c r="H118" s="22">
        <v>1</v>
      </c>
      <c r="I118" s="22">
        <v>1</v>
      </c>
      <c r="J118" s="22">
        <v>0</v>
      </c>
      <c r="K118" s="22">
        <v>1</v>
      </c>
      <c r="L118" s="22">
        <v>0</v>
      </c>
      <c r="M118" s="22">
        <v>0</v>
      </c>
      <c r="N118" s="23">
        <v>45014.704861111102</v>
      </c>
      <c r="O118" s="23">
        <v>45021</v>
      </c>
      <c r="P118" s="24">
        <f t="shared" si="1"/>
        <v>7.2951388888977799</v>
      </c>
      <c r="Q118" s="20" t="s">
        <v>31</v>
      </c>
      <c r="R118" s="20" t="s">
        <v>31</v>
      </c>
      <c r="S118" s="20" t="s">
        <v>32</v>
      </c>
      <c r="T118" s="20">
        <v>12060.92</v>
      </c>
      <c r="U118" s="20" t="s">
        <v>36</v>
      </c>
      <c r="V118" s="25">
        <v>45015.534340277802</v>
      </c>
      <c r="W118" s="20" t="s">
        <v>52</v>
      </c>
      <c r="X118" s="20"/>
      <c r="Y118" s="26">
        <v>67.524999998335304</v>
      </c>
      <c r="Z118" s="22" t="s">
        <v>35</v>
      </c>
      <c r="AA118" s="27">
        <v>1</v>
      </c>
      <c r="AB118" s="27" t="s">
        <v>31</v>
      </c>
      <c r="AC118" s="28">
        <v>2</v>
      </c>
      <c r="AD118" s="28" t="s">
        <v>31</v>
      </c>
    </row>
    <row r="119" spans="1:30" ht="14.55" customHeight="1" x14ac:dyDescent="0.4">
      <c r="A119" s="20">
        <v>1</v>
      </c>
      <c r="B119" s="20">
        <v>121</v>
      </c>
      <c r="C119" s="29">
        <v>60</v>
      </c>
      <c r="D119" s="22" t="s">
        <v>38</v>
      </c>
      <c r="E119" s="22">
        <v>0</v>
      </c>
      <c r="F119" s="22">
        <v>1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3">
        <v>44970.591666666704</v>
      </c>
      <c r="O119" s="23">
        <v>44977</v>
      </c>
      <c r="P119" s="24">
        <f t="shared" si="1"/>
        <v>7.4083333332964703</v>
      </c>
      <c r="Q119" s="20" t="s">
        <v>31</v>
      </c>
      <c r="R119" s="20" t="s">
        <v>31</v>
      </c>
      <c r="S119" s="20" t="s">
        <v>32</v>
      </c>
      <c r="T119" s="20">
        <v>8001.94</v>
      </c>
      <c r="U119" s="20" t="s">
        <v>36</v>
      </c>
      <c r="V119" s="25">
        <v>44974.696296296301</v>
      </c>
      <c r="W119" s="20" t="s">
        <v>34</v>
      </c>
      <c r="X119" s="20"/>
      <c r="Y119" s="26">
        <v>41.565833332773799</v>
      </c>
      <c r="Z119" s="22" t="s">
        <v>35</v>
      </c>
      <c r="AA119" s="27" t="s">
        <v>34</v>
      </c>
      <c r="AB119" s="27" t="s">
        <v>31</v>
      </c>
      <c r="AC119" s="28" t="s">
        <v>31</v>
      </c>
      <c r="AD119" s="28" t="s">
        <v>31</v>
      </c>
    </row>
    <row r="120" spans="1:30" ht="14.55" customHeight="1" x14ac:dyDescent="0.4">
      <c r="A120" s="20">
        <v>1</v>
      </c>
      <c r="B120" s="20">
        <v>122</v>
      </c>
      <c r="C120" s="29">
        <v>65</v>
      </c>
      <c r="D120" s="22" t="s">
        <v>38</v>
      </c>
      <c r="E120" s="22">
        <v>0</v>
      </c>
      <c r="F120" s="22">
        <v>1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3">
        <v>44995.592361111099</v>
      </c>
      <c r="O120" s="23">
        <v>45015</v>
      </c>
      <c r="P120" s="24">
        <f t="shared" si="1"/>
        <v>20.407638888900699</v>
      </c>
      <c r="Q120" s="20" t="s">
        <v>31</v>
      </c>
      <c r="R120" s="20" t="s">
        <v>31</v>
      </c>
      <c r="S120" s="20" t="s">
        <v>32</v>
      </c>
      <c r="T120" s="20">
        <v>20765.009999999998</v>
      </c>
      <c r="U120" s="20" t="s">
        <v>36</v>
      </c>
      <c r="V120" s="25">
        <v>45000.642372685201</v>
      </c>
      <c r="W120" s="20" t="s">
        <v>34</v>
      </c>
      <c r="X120" s="20"/>
      <c r="Y120" s="26">
        <v>44.285555556009101</v>
      </c>
      <c r="Z120" s="22" t="s">
        <v>35</v>
      </c>
      <c r="AA120" s="27" t="s">
        <v>34</v>
      </c>
      <c r="AB120" s="27" t="s">
        <v>31</v>
      </c>
      <c r="AC120" s="28" t="s">
        <v>31</v>
      </c>
      <c r="AD120" s="28" t="s">
        <v>31</v>
      </c>
    </row>
    <row r="121" spans="1:30" ht="14.55" customHeight="1" x14ac:dyDescent="0.4">
      <c r="A121" s="20">
        <v>1</v>
      </c>
      <c r="B121" s="20">
        <v>123</v>
      </c>
      <c r="C121" s="29">
        <v>62</v>
      </c>
      <c r="D121" s="22" t="s">
        <v>38</v>
      </c>
      <c r="E121" s="22">
        <v>0</v>
      </c>
      <c r="F121" s="22">
        <v>1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3">
        <v>44722.476388888899</v>
      </c>
      <c r="O121" s="23">
        <v>44737</v>
      </c>
      <c r="P121" s="24">
        <f t="shared" si="1"/>
        <v>15.5236111111008</v>
      </c>
      <c r="Q121" s="20" t="s">
        <v>31</v>
      </c>
      <c r="R121" s="20" t="s">
        <v>31</v>
      </c>
      <c r="S121" s="20" t="s">
        <v>32</v>
      </c>
      <c r="T121" s="20">
        <v>79487.960000000006</v>
      </c>
      <c r="U121" s="20" t="s">
        <v>36</v>
      </c>
      <c r="V121" s="25">
        <v>44729.491249999999</v>
      </c>
      <c r="W121" s="20" t="s">
        <v>34</v>
      </c>
      <c r="X121" s="20"/>
      <c r="Y121" s="26">
        <v>50.894444443169</v>
      </c>
      <c r="Z121" s="22" t="s">
        <v>35</v>
      </c>
      <c r="AA121" s="27" t="s">
        <v>34</v>
      </c>
      <c r="AB121" s="27" t="s">
        <v>31</v>
      </c>
      <c r="AC121" s="28" t="s">
        <v>31</v>
      </c>
      <c r="AD121" s="28" t="s">
        <v>31</v>
      </c>
    </row>
    <row r="122" spans="1:30" ht="14.55" customHeight="1" x14ac:dyDescent="0.4">
      <c r="A122" s="20">
        <v>1</v>
      </c>
      <c r="B122" s="20">
        <v>124</v>
      </c>
      <c r="C122" s="29">
        <v>55</v>
      </c>
      <c r="D122" s="22" t="s">
        <v>38</v>
      </c>
      <c r="E122" s="22">
        <v>0</v>
      </c>
      <c r="F122" s="22">
        <v>1</v>
      </c>
      <c r="G122" s="22">
        <v>0</v>
      </c>
      <c r="H122" s="22">
        <v>1</v>
      </c>
      <c r="I122" s="22">
        <v>0</v>
      </c>
      <c r="J122" s="22">
        <v>0</v>
      </c>
      <c r="K122" s="22">
        <v>0</v>
      </c>
      <c r="L122" s="22">
        <v>1</v>
      </c>
      <c r="M122" s="22">
        <v>0</v>
      </c>
      <c r="N122" s="23">
        <v>44903.765972222202</v>
      </c>
      <c r="O122" s="23">
        <v>44911</v>
      </c>
      <c r="P122" s="24">
        <f t="shared" si="1"/>
        <v>8.2340277777984703</v>
      </c>
      <c r="Q122" s="20" t="s">
        <v>31</v>
      </c>
      <c r="R122" s="20" t="s">
        <v>31</v>
      </c>
      <c r="S122" s="20" t="s">
        <v>32</v>
      </c>
      <c r="T122" s="20">
        <v>7731.35</v>
      </c>
      <c r="U122" s="20" t="s">
        <v>39</v>
      </c>
      <c r="V122" s="25">
        <v>44909.527430555601</v>
      </c>
      <c r="W122" s="20" t="s">
        <v>34</v>
      </c>
      <c r="X122" s="20"/>
      <c r="Y122" s="26">
        <v>46.3505555543234</v>
      </c>
      <c r="Z122" s="22" t="s">
        <v>35</v>
      </c>
      <c r="AA122" s="27" t="s">
        <v>34</v>
      </c>
      <c r="AB122" s="27" t="s">
        <v>31</v>
      </c>
      <c r="AC122" s="28" t="s">
        <v>31</v>
      </c>
      <c r="AD122" s="28" t="s">
        <v>31</v>
      </c>
    </row>
    <row r="123" spans="1:30" ht="14.55" customHeight="1" x14ac:dyDescent="0.4">
      <c r="A123" s="20">
        <v>1</v>
      </c>
      <c r="B123" s="20">
        <v>125</v>
      </c>
      <c r="C123" s="29">
        <v>63</v>
      </c>
      <c r="D123" s="22" t="s">
        <v>38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3">
        <v>44848.636805555601</v>
      </c>
      <c r="O123" s="23">
        <v>44852</v>
      </c>
      <c r="P123" s="24">
        <f t="shared" si="1"/>
        <v>4.3631944443986903</v>
      </c>
      <c r="Q123" s="20" t="s">
        <v>31</v>
      </c>
      <c r="R123" s="20" t="s">
        <v>31</v>
      </c>
      <c r="S123" s="20" t="s">
        <v>32</v>
      </c>
      <c r="T123" s="20">
        <v>7475.59</v>
      </c>
      <c r="U123" s="20" t="s">
        <v>40</v>
      </c>
      <c r="V123" s="25">
        <v>44851.512754629599</v>
      </c>
      <c r="W123" s="20" t="s">
        <v>34</v>
      </c>
      <c r="X123" s="20"/>
      <c r="Y123" s="26">
        <v>46.221944445627699</v>
      </c>
      <c r="Z123" s="22" t="s">
        <v>35</v>
      </c>
      <c r="AA123" s="27" t="s">
        <v>34</v>
      </c>
      <c r="AB123" s="27" t="s">
        <v>31</v>
      </c>
      <c r="AC123" s="28" t="s">
        <v>31</v>
      </c>
      <c r="AD123" s="28" t="s">
        <v>31</v>
      </c>
    </row>
    <row r="124" spans="1:30" ht="14.55" customHeight="1" x14ac:dyDescent="0.4">
      <c r="A124" s="20">
        <v>1</v>
      </c>
      <c r="B124" s="20">
        <v>126</v>
      </c>
      <c r="C124" s="29">
        <v>68</v>
      </c>
      <c r="D124" s="22" t="s">
        <v>38</v>
      </c>
      <c r="E124" s="22">
        <v>0</v>
      </c>
      <c r="F124" s="22">
        <v>0</v>
      </c>
      <c r="G124" s="22">
        <v>0</v>
      </c>
      <c r="H124" s="22">
        <v>1</v>
      </c>
      <c r="I124" s="22">
        <v>1</v>
      </c>
      <c r="J124" s="22">
        <v>0</v>
      </c>
      <c r="K124" s="22">
        <v>0</v>
      </c>
      <c r="L124" s="22">
        <v>0</v>
      </c>
      <c r="M124" s="22">
        <v>0</v>
      </c>
      <c r="N124" s="23">
        <v>44959.385416666701</v>
      </c>
      <c r="O124" s="23">
        <v>44977</v>
      </c>
      <c r="P124" s="24">
        <f t="shared" si="1"/>
        <v>18.6145833332994</v>
      </c>
      <c r="Q124" s="20" t="s">
        <v>31</v>
      </c>
      <c r="R124" s="20" t="s">
        <v>31</v>
      </c>
      <c r="S124" s="20" t="s">
        <v>32</v>
      </c>
      <c r="T124" s="20">
        <v>37431.519999999997</v>
      </c>
      <c r="U124" s="20" t="s">
        <v>40</v>
      </c>
      <c r="V124" s="25">
        <v>44965.442187499997</v>
      </c>
      <c r="W124" s="20" t="s">
        <v>34</v>
      </c>
      <c r="X124" s="20"/>
      <c r="Y124" s="26">
        <v>48.915555554442101</v>
      </c>
      <c r="Z124" s="22" t="s">
        <v>35</v>
      </c>
      <c r="AA124" s="27" t="s">
        <v>34</v>
      </c>
      <c r="AB124" s="27" t="s">
        <v>31</v>
      </c>
      <c r="AC124" s="28" t="s">
        <v>31</v>
      </c>
      <c r="AD124" s="28" t="s">
        <v>31</v>
      </c>
    </row>
    <row r="125" spans="1:30" ht="14.55" customHeight="1" x14ac:dyDescent="0.4">
      <c r="A125" s="20">
        <v>1</v>
      </c>
      <c r="B125" s="20">
        <v>127</v>
      </c>
      <c r="C125" s="29">
        <v>65</v>
      </c>
      <c r="D125" s="22" t="s">
        <v>38</v>
      </c>
      <c r="E125" s="22">
        <v>1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3">
        <v>44800.586805555598</v>
      </c>
      <c r="O125" s="23">
        <v>44802</v>
      </c>
      <c r="P125" s="24">
        <f t="shared" si="1"/>
        <v>2.4131944444015998</v>
      </c>
      <c r="Q125" s="20" t="s">
        <v>31</v>
      </c>
      <c r="R125" s="20" t="s">
        <v>31</v>
      </c>
      <c r="S125" s="22" t="s">
        <v>32</v>
      </c>
      <c r="T125" s="20">
        <v>8890.2199999999993</v>
      </c>
      <c r="U125" s="22" t="s">
        <v>36</v>
      </c>
      <c r="V125" s="25">
        <v>44802.628692129598</v>
      </c>
      <c r="W125" s="20" t="s">
        <v>34</v>
      </c>
      <c r="X125" s="20"/>
      <c r="Y125" s="26">
        <v>42.441111112770201</v>
      </c>
      <c r="Z125" s="22" t="s">
        <v>35</v>
      </c>
      <c r="AA125" s="27" t="s">
        <v>34</v>
      </c>
      <c r="AB125" s="27" t="s">
        <v>31</v>
      </c>
      <c r="AC125" s="28" t="s">
        <v>31</v>
      </c>
      <c r="AD125" s="28" t="s">
        <v>31</v>
      </c>
    </row>
    <row r="126" spans="1:30" ht="14.55" customHeight="1" x14ac:dyDescent="0.4">
      <c r="A126" s="20">
        <v>1</v>
      </c>
      <c r="B126" s="20">
        <v>128</v>
      </c>
      <c r="C126" s="29">
        <v>59</v>
      </c>
      <c r="D126" s="22" t="s">
        <v>30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1</v>
      </c>
      <c r="L126" s="22">
        <v>0</v>
      </c>
      <c r="M126" s="22">
        <v>0</v>
      </c>
      <c r="N126" s="23">
        <v>44810.401388888902</v>
      </c>
      <c r="O126" s="23">
        <v>44827</v>
      </c>
      <c r="P126" s="24">
        <f t="shared" si="1"/>
        <v>17.598611111097899</v>
      </c>
      <c r="Q126" s="20" t="s">
        <v>31</v>
      </c>
      <c r="R126" s="20" t="s">
        <v>31</v>
      </c>
      <c r="S126" s="22" t="s">
        <v>32</v>
      </c>
      <c r="T126" s="20">
        <v>16876.89</v>
      </c>
      <c r="U126" s="22" t="s">
        <v>33</v>
      </c>
      <c r="V126" s="25">
        <v>44823.6148032407</v>
      </c>
      <c r="W126" s="20" t="s">
        <v>34</v>
      </c>
      <c r="X126" s="20"/>
      <c r="Y126" s="26">
        <v>44.106944445578797</v>
      </c>
      <c r="Z126" s="22" t="s">
        <v>35</v>
      </c>
      <c r="AA126" s="27" t="s">
        <v>34</v>
      </c>
      <c r="AB126" s="27" t="s">
        <v>31</v>
      </c>
      <c r="AC126" s="28" t="s">
        <v>31</v>
      </c>
      <c r="AD126" s="28" t="s">
        <v>31</v>
      </c>
    </row>
    <row r="127" spans="1:30" ht="14.55" customHeight="1" x14ac:dyDescent="0.4">
      <c r="A127" s="20">
        <v>1</v>
      </c>
      <c r="B127" s="20">
        <v>129</v>
      </c>
      <c r="C127" s="29">
        <v>55</v>
      </c>
      <c r="D127" s="22" t="s">
        <v>38</v>
      </c>
      <c r="E127" s="22">
        <v>1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3">
        <v>44679.534722222197</v>
      </c>
      <c r="O127" s="23">
        <v>44705</v>
      </c>
      <c r="P127" s="24">
        <f t="shared" si="1"/>
        <v>26.4652777778028</v>
      </c>
      <c r="Q127" s="20" t="s">
        <v>31</v>
      </c>
      <c r="R127" s="20" t="s">
        <v>31</v>
      </c>
      <c r="S127" s="20" t="s">
        <v>32</v>
      </c>
      <c r="T127" s="20">
        <v>95100.88</v>
      </c>
      <c r="U127" s="20" t="s">
        <v>39</v>
      </c>
      <c r="V127" s="25">
        <v>44691.550810185203</v>
      </c>
      <c r="W127" s="20" t="s">
        <v>34</v>
      </c>
      <c r="X127" s="20"/>
      <c r="Y127" s="26">
        <v>44.0541666671634</v>
      </c>
      <c r="Z127" s="22" t="s">
        <v>35</v>
      </c>
      <c r="AA127" s="27" t="s">
        <v>34</v>
      </c>
      <c r="AB127" s="27" t="s">
        <v>31</v>
      </c>
      <c r="AC127" s="28" t="s">
        <v>31</v>
      </c>
      <c r="AD127" s="28" t="s">
        <v>31</v>
      </c>
    </row>
    <row r="128" spans="1:30" ht="14.55" customHeight="1" x14ac:dyDescent="0.4">
      <c r="A128" s="20">
        <v>1</v>
      </c>
      <c r="B128" s="20">
        <v>130</v>
      </c>
      <c r="C128" s="29">
        <v>61</v>
      </c>
      <c r="D128" s="22" t="s">
        <v>38</v>
      </c>
      <c r="E128" s="22">
        <v>0</v>
      </c>
      <c r="F128" s="22">
        <v>1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3">
        <v>44988.601388888899</v>
      </c>
      <c r="O128" s="23">
        <v>44995</v>
      </c>
      <c r="P128" s="24">
        <f t="shared" si="1"/>
        <v>7.3986111111007604</v>
      </c>
      <c r="Q128" s="20" t="s">
        <v>31</v>
      </c>
      <c r="R128" s="20" t="s">
        <v>31</v>
      </c>
      <c r="S128" s="22" t="s">
        <v>32</v>
      </c>
      <c r="T128" s="20">
        <v>8045.59</v>
      </c>
      <c r="U128" s="22" t="s">
        <v>36</v>
      </c>
      <c r="V128" s="25">
        <v>44993.4973032407</v>
      </c>
      <c r="W128" s="20" t="s">
        <v>44</v>
      </c>
      <c r="X128" s="20"/>
      <c r="Y128" s="26">
        <v>70.285833333560703</v>
      </c>
      <c r="Z128" s="22" t="s">
        <v>35</v>
      </c>
      <c r="AA128" s="27">
        <v>1</v>
      </c>
      <c r="AB128" s="27" t="s">
        <v>31</v>
      </c>
      <c r="AC128" s="28">
        <v>1</v>
      </c>
      <c r="AD128" s="28" t="s">
        <v>31</v>
      </c>
    </row>
    <row r="129" spans="1:30" ht="14.55" customHeight="1" x14ac:dyDescent="0.4">
      <c r="A129" s="20">
        <v>1</v>
      </c>
      <c r="B129" s="20">
        <v>131</v>
      </c>
      <c r="C129" s="29">
        <v>69</v>
      </c>
      <c r="D129" s="22" t="s">
        <v>30</v>
      </c>
      <c r="E129" s="22">
        <v>0</v>
      </c>
      <c r="F129" s="22">
        <v>1</v>
      </c>
      <c r="G129" s="22">
        <v>0</v>
      </c>
      <c r="H129" s="22">
        <v>0</v>
      </c>
      <c r="I129" s="22">
        <v>1</v>
      </c>
      <c r="J129" s="22">
        <v>0</v>
      </c>
      <c r="K129" s="22">
        <v>1</v>
      </c>
      <c r="L129" s="22">
        <v>0</v>
      </c>
      <c r="M129" s="22">
        <v>0</v>
      </c>
      <c r="N129" s="23">
        <v>44884.634722222203</v>
      </c>
      <c r="O129" s="23">
        <v>44895</v>
      </c>
      <c r="P129" s="24">
        <f t="shared" si="1"/>
        <v>11.365277777797001</v>
      </c>
      <c r="Q129" s="20" t="s">
        <v>31</v>
      </c>
      <c r="R129" s="20" t="s">
        <v>31</v>
      </c>
      <c r="S129" s="22" t="s">
        <v>32</v>
      </c>
      <c r="T129" s="20">
        <v>10049.790000000001</v>
      </c>
      <c r="U129" s="22" t="s">
        <v>36</v>
      </c>
      <c r="V129" s="25">
        <v>44893.409143518496</v>
      </c>
      <c r="W129" s="20" t="s">
        <v>53</v>
      </c>
      <c r="X129" s="20"/>
      <c r="Y129" s="26">
        <v>70.6486111104023</v>
      </c>
      <c r="Z129" s="22" t="s">
        <v>35</v>
      </c>
      <c r="AA129" s="27">
        <v>1</v>
      </c>
      <c r="AB129" s="27" t="s">
        <v>31</v>
      </c>
      <c r="AC129" s="28">
        <v>1</v>
      </c>
      <c r="AD129" s="28" t="s">
        <v>31</v>
      </c>
    </row>
    <row r="130" spans="1:30" ht="14.55" customHeight="1" x14ac:dyDescent="0.4">
      <c r="A130" s="20">
        <v>1</v>
      </c>
      <c r="B130" s="20">
        <v>132</v>
      </c>
      <c r="C130" s="29">
        <v>69</v>
      </c>
      <c r="D130" s="22" t="s">
        <v>38</v>
      </c>
      <c r="E130" s="22">
        <v>0</v>
      </c>
      <c r="F130" s="22">
        <v>1</v>
      </c>
      <c r="G130" s="22">
        <v>0</v>
      </c>
      <c r="H130" s="22">
        <v>1</v>
      </c>
      <c r="I130" s="22">
        <v>0</v>
      </c>
      <c r="J130" s="22">
        <v>0</v>
      </c>
      <c r="K130" s="22">
        <v>1</v>
      </c>
      <c r="L130" s="22">
        <v>0</v>
      </c>
      <c r="M130" s="22">
        <v>0</v>
      </c>
      <c r="N130" s="23">
        <v>44883.397916666698</v>
      </c>
      <c r="O130" s="23">
        <v>44888</v>
      </c>
      <c r="P130" s="24">
        <f t="shared" si="1"/>
        <v>5.6020833333022901</v>
      </c>
      <c r="Q130" s="20" t="s">
        <v>31</v>
      </c>
      <c r="R130" s="20" t="s">
        <v>31</v>
      </c>
      <c r="S130" s="20" t="s">
        <v>32</v>
      </c>
      <c r="T130" s="20">
        <v>8708.44</v>
      </c>
      <c r="U130" s="20" t="s">
        <v>39</v>
      </c>
      <c r="V130" s="25">
        <v>44887.486828703702</v>
      </c>
      <c r="W130" s="20" t="s">
        <v>34</v>
      </c>
      <c r="X130" s="20"/>
      <c r="Y130" s="26">
        <v>50.287777778401498</v>
      </c>
      <c r="Z130" s="22" t="s">
        <v>35</v>
      </c>
      <c r="AA130" s="27" t="s">
        <v>34</v>
      </c>
      <c r="AB130" s="27" t="s">
        <v>31</v>
      </c>
      <c r="AC130" s="28" t="s">
        <v>31</v>
      </c>
      <c r="AD130" s="28" t="s">
        <v>31</v>
      </c>
    </row>
    <row r="131" spans="1:30" ht="14.55" customHeight="1" x14ac:dyDescent="0.4">
      <c r="A131" s="20">
        <v>1</v>
      </c>
      <c r="B131" s="20">
        <v>133</v>
      </c>
      <c r="C131" s="29">
        <v>64</v>
      </c>
      <c r="D131" s="22" t="s">
        <v>38</v>
      </c>
      <c r="E131" s="22">
        <v>0</v>
      </c>
      <c r="F131" s="22">
        <v>0</v>
      </c>
      <c r="G131" s="22">
        <v>0</v>
      </c>
      <c r="H131" s="22">
        <v>1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3">
        <v>44908.490277777797</v>
      </c>
      <c r="O131" s="23">
        <v>44915</v>
      </c>
      <c r="P131" s="24">
        <f t="shared" ref="P131:P194" si="2">O131-N131+1</f>
        <v>7.5097222222029796</v>
      </c>
      <c r="Q131" s="20" t="s">
        <v>31</v>
      </c>
      <c r="R131" s="20" t="s">
        <v>31</v>
      </c>
      <c r="S131" s="22" t="s">
        <v>32</v>
      </c>
      <c r="T131" s="20">
        <v>13449.59</v>
      </c>
      <c r="U131" s="22" t="s">
        <v>36</v>
      </c>
      <c r="V131" s="25">
        <v>44914.528518518498</v>
      </c>
      <c r="W131" s="20" t="s">
        <v>56</v>
      </c>
      <c r="X131" s="20"/>
      <c r="Y131" s="26">
        <v>93.403055556002101</v>
      </c>
      <c r="Z131" s="22" t="s">
        <v>35</v>
      </c>
      <c r="AA131" s="27">
        <v>1</v>
      </c>
      <c r="AB131" s="27" t="s">
        <v>31</v>
      </c>
      <c r="AC131" s="28">
        <v>1</v>
      </c>
      <c r="AD131" s="28" t="s">
        <v>31</v>
      </c>
    </row>
    <row r="132" spans="1:30" ht="14.55" customHeight="1" x14ac:dyDescent="0.4">
      <c r="A132" s="20">
        <v>1</v>
      </c>
      <c r="B132" s="20">
        <v>134</v>
      </c>
      <c r="C132" s="29">
        <v>55</v>
      </c>
      <c r="D132" s="22" t="s">
        <v>30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3">
        <v>44908.420833333301</v>
      </c>
      <c r="O132" s="23">
        <v>44918</v>
      </c>
      <c r="P132" s="24">
        <f t="shared" si="2"/>
        <v>10.5791666666992</v>
      </c>
      <c r="Q132" s="20" t="s">
        <v>31</v>
      </c>
      <c r="R132" s="20" t="s">
        <v>31</v>
      </c>
      <c r="S132" s="22" t="s">
        <v>32</v>
      </c>
      <c r="T132" s="20">
        <v>10205.57</v>
      </c>
      <c r="U132" s="22" t="s">
        <v>33</v>
      </c>
      <c r="V132" s="25">
        <v>44911.525277777801</v>
      </c>
      <c r="W132" s="20" t="s">
        <v>53</v>
      </c>
      <c r="X132" s="20"/>
      <c r="Y132" s="26">
        <v>92.993611111189196</v>
      </c>
      <c r="Z132" s="22" t="s">
        <v>35</v>
      </c>
      <c r="AA132" s="27">
        <v>1</v>
      </c>
      <c r="AB132" s="27" t="s">
        <v>31</v>
      </c>
      <c r="AC132" s="28">
        <v>1</v>
      </c>
      <c r="AD132" s="28" t="s">
        <v>31</v>
      </c>
    </row>
    <row r="133" spans="1:30" ht="14.55" customHeight="1" x14ac:dyDescent="0.4">
      <c r="A133" s="20">
        <v>1</v>
      </c>
      <c r="B133" s="20">
        <v>135</v>
      </c>
      <c r="C133" s="29">
        <v>69</v>
      </c>
      <c r="D133" s="22" t="s">
        <v>30</v>
      </c>
      <c r="E133" s="22">
        <v>0</v>
      </c>
      <c r="F133" s="22">
        <v>1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3">
        <v>44928.649305555598</v>
      </c>
      <c r="O133" s="23">
        <v>44949</v>
      </c>
      <c r="P133" s="24">
        <f t="shared" si="2"/>
        <v>21.350694444401601</v>
      </c>
      <c r="Q133" s="20" t="s">
        <v>31</v>
      </c>
      <c r="R133" s="20" t="s">
        <v>31</v>
      </c>
      <c r="S133" s="20" t="s">
        <v>32</v>
      </c>
      <c r="T133" s="20">
        <v>219006.02</v>
      </c>
      <c r="U133" s="20" t="s">
        <v>39</v>
      </c>
      <c r="V133" s="25">
        <v>44937.6317361111</v>
      </c>
      <c r="W133" s="20" t="s">
        <v>34</v>
      </c>
      <c r="X133" s="20"/>
      <c r="Y133" s="26">
        <v>43.881666667177299</v>
      </c>
      <c r="Z133" s="22" t="s">
        <v>35</v>
      </c>
      <c r="AA133" s="27" t="s">
        <v>34</v>
      </c>
      <c r="AB133" s="27" t="s">
        <v>31</v>
      </c>
      <c r="AC133" s="28" t="s">
        <v>31</v>
      </c>
      <c r="AD133" s="28" t="s">
        <v>31</v>
      </c>
    </row>
    <row r="134" spans="1:30" ht="14.55" customHeight="1" x14ac:dyDescent="0.4">
      <c r="A134" s="20">
        <v>1</v>
      </c>
      <c r="B134" s="20">
        <v>136</v>
      </c>
      <c r="C134" s="29">
        <v>68</v>
      </c>
      <c r="D134" s="22" t="s">
        <v>38</v>
      </c>
      <c r="E134" s="22">
        <v>0</v>
      </c>
      <c r="F134" s="22">
        <v>0</v>
      </c>
      <c r="G134" s="22">
        <v>0</v>
      </c>
      <c r="H134" s="22">
        <v>1</v>
      </c>
      <c r="I134" s="22">
        <v>1</v>
      </c>
      <c r="J134" s="22">
        <v>1</v>
      </c>
      <c r="K134" s="22">
        <v>0</v>
      </c>
      <c r="L134" s="22">
        <v>0</v>
      </c>
      <c r="M134" s="22">
        <v>0</v>
      </c>
      <c r="N134" s="23">
        <v>44886.850694444402</v>
      </c>
      <c r="O134" s="23">
        <v>44899</v>
      </c>
      <c r="P134" s="24">
        <f t="shared" si="2"/>
        <v>13.149305555598399</v>
      </c>
      <c r="Q134" s="20" t="s">
        <v>31</v>
      </c>
      <c r="R134" s="20" t="s">
        <v>31</v>
      </c>
      <c r="S134" s="22" t="s">
        <v>32</v>
      </c>
      <c r="T134" s="20">
        <v>68580.11</v>
      </c>
      <c r="U134" s="22" t="s">
        <v>40</v>
      </c>
      <c r="V134" s="25">
        <v>44897.4936689815</v>
      </c>
      <c r="W134" s="20" t="s">
        <v>57</v>
      </c>
      <c r="X134" s="20"/>
      <c r="Y134" s="26">
        <v>69.696944443217902</v>
      </c>
      <c r="Z134" s="22" t="s">
        <v>35</v>
      </c>
      <c r="AA134" s="27">
        <v>1</v>
      </c>
      <c r="AB134" s="27" t="s">
        <v>31</v>
      </c>
      <c r="AC134" s="28">
        <v>2</v>
      </c>
      <c r="AD134" s="28" t="s">
        <v>31</v>
      </c>
    </row>
    <row r="135" spans="1:30" ht="14.55" customHeight="1" x14ac:dyDescent="0.4">
      <c r="A135" s="20">
        <v>1</v>
      </c>
      <c r="B135" s="20">
        <v>137</v>
      </c>
      <c r="C135" s="29">
        <v>69</v>
      </c>
      <c r="D135" s="22" t="s">
        <v>30</v>
      </c>
      <c r="E135" s="22">
        <v>1</v>
      </c>
      <c r="F135" s="22">
        <v>1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3">
        <v>44752.586111111101</v>
      </c>
      <c r="O135" s="23">
        <v>44763</v>
      </c>
      <c r="P135" s="24">
        <f t="shared" si="2"/>
        <v>11.4138888888992</v>
      </c>
      <c r="Q135" s="20" t="s">
        <v>31</v>
      </c>
      <c r="R135" s="20" t="s">
        <v>31</v>
      </c>
      <c r="S135" s="20" t="s">
        <v>32</v>
      </c>
      <c r="T135" s="26">
        <v>17801.8</v>
      </c>
      <c r="U135" s="20" t="s">
        <v>36</v>
      </c>
      <c r="V135" s="25">
        <v>44757.702696759297</v>
      </c>
      <c r="W135" s="20" t="s">
        <v>34</v>
      </c>
      <c r="X135" s="20"/>
      <c r="Y135" s="26">
        <v>45.9044444424799</v>
      </c>
      <c r="Z135" s="22" t="s">
        <v>35</v>
      </c>
      <c r="AA135" s="27" t="s">
        <v>34</v>
      </c>
      <c r="AB135" s="27" t="s">
        <v>31</v>
      </c>
      <c r="AC135" s="28" t="s">
        <v>31</v>
      </c>
      <c r="AD135" s="28" t="s">
        <v>31</v>
      </c>
    </row>
    <row r="136" spans="1:30" ht="14.55" customHeight="1" x14ac:dyDescent="0.4">
      <c r="A136" s="20">
        <v>1</v>
      </c>
      <c r="B136" s="20">
        <v>138</v>
      </c>
      <c r="C136" s="29">
        <v>60</v>
      </c>
      <c r="D136" s="22" t="s">
        <v>38</v>
      </c>
      <c r="E136" s="22">
        <v>0</v>
      </c>
      <c r="F136" s="22">
        <v>0</v>
      </c>
      <c r="G136" s="22">
        <v>0</v>
      </c>
      <c r="H136" s="22">
        <v>1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3">
        <v>44795.7006944444</v>
      </c>
      <c r="O136" s="23">
        <v>44804</v>
      </c>
      <c r="P136" s="24">
        <f t="shared" si="2"/>
        <v>9.2993055555998598</v>
      </c>
      <c r="Q136" s="20" t="s">
        <v>31</v>
      </c>
      <c r="R136" s="20" t="s">
        <v>31</v>
      </c>
      <c r="S136" s="20" t="s">
        <v>32</v>
      </c>
      <c r="T136" s="20">
        <v>8068.62</v>
      </c>
      <c r="U136" s="20" t="s">
        <v>36</v>
      </c>
      <c r="V136" s="25">
        <v>44802.475810185198</v>
      </c>
      <c r="W136" s="20" t="s">
        <v>34</v>
      </c>
      <c r="X136" s="20"/>
      <c r="Y136" s="26">
        <v>46.163055554498001</v>
      </c>
      <c r="Z136" s="22" t="s">
        <v>35</v>
      </c>
      <c r="AA136" s="27" t="s">
        <v>34</v>
      </c>
      <c r="AB136" s="27" t="s">
        <v>31</v>
      </c>
      <c r="AC136" s="28" t="s">
        <v>31</v>
      </c>
      <c r="AD136" s="28" t="s">
        <v>31</v>
      </c>
    </row>
    <row r="137" spans="1:30" ht="14.55" customHeight="1" x14ac:dyDescent="0.4">
      <c r="A137" s="20">
        <v>1</v>
      </c>
      <c r="B137" s="20">
        <v>139</v>
      </c>
      <c r="C137" s="29">
        <v>58</v>
      </c>
      <c r="D137" s="22" t="s">
        <v>30</v>
      </c>
      <c r="E137" s="22">
        <v>0</v>
      </c>
      <c r="F137" s="22">
        <v>1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3">
        <v>44877.599999999999</v>
      </c>
      <c r="O137" s="23">
        <v>44881</v>
      </c>
      <c r="P137" s="24">
        <f t="shared" si="2"/>
        <v>4.4000000000014596</v>
      </c>
      <c r="Q137" s="20" t="s">
        <v>31</v>
      </c>
      <c r="R137" s="20" t="s">
        <v>31</v>
      </c>
      <c r="S137" s="22" t="s">
        <v>32</v>
      </c>
      <c r="T137" s="20">
        <v>11285.43</v>
      </c>
      <c r="U137" s="22" t="s">
        <v>33</v>
      </c>
      <c r="V137" s="25">
        <v>44881.526886574102</v>
      </c>
      <c r="W137" s="20" t="s">
        <v>44</v>
      </c>
      <c r="X137" s="20"/>
      <c r="Y137" s="26">
        <v>67.5144444431062</v>
      </c>
      <c r="Z137" s="22" t="s">
        <v>35</v>
      </c>
      <c r="AA137" s="27">
        <v>1</v>
      </c>
      <c r="AB137" s="27" t="s">
        <v>31</v>
      </c>
      <c r="AC137" s="28">
        <v>1</v>
      </c>
      <c r="AD137" s="28" t="s">
        <v>31</v>
      </c>
    </row>
    <row r="138" spans="1:30" ht="14.55" customHeight="1" x14ac:dyDescent="0.4">
      <c r="A138" s="20">
        <v>1</v>
      </c>
      <c r="B138" s="20">
        <v>140</v>
      </c>
      <c r="C138" s="29">
        <v>62</v>
      </c>
      <c r="D138" s="22" t="s">
        <v>30</v>
      </c>
      <c r="E138" s="22">
        <v>0</v>
      </c>
      <c r="F138" s="22">
        <v>1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3">
        <v>44704.822916666701</v>
      </c>
      <c r="O138" s="23">
        <v>44709</v>
      </c>
      <c r="P138" s="24">
        <f t="shared" si="2"/>
        <v>5.1770833332993798</v>
      </c>
      <c r="Q138" s="20" t="s">
        <v>31</v>
      </c>
      <c r="R138" s="20" t="s">
        <v>31</v>
      </c>
      <c r="S138" s="20" t="s">
        <v>32</v>
      </c>
      <c r="T138" s="20">
        <v>7531.17</v>
      </c>
      <c r="U138" s="20" t="s">
        <v>39</v>
      </c>
      <c r="V138" s="25">
        <v>44707.639594907399</v>
      </c>
      <c r="W138" s="20" t="s">
        <v>34</v>
      </c>
      <c r="X138" s="20"/>
      <c r="Y138" s="26">
        <v>186.98611111199699</v>
      </c>
      <c r="Z138" s="22" t="s">
        <v>35</v>
      </c>
      <c r="AA138" s="27" t="s">
        <v>34</v>
      </c>
      <c r="AB138" s="27" t="s">
        <v>31</v>
      </c>
      <c r="AC138" s="28" t="s">
        <v>31</v>
      </c>
      <c r="AD138" s="28" t="s">
        <v>31</v>
      </c>
    </row>
    <row r="139" spans="1:30" ht="14.55" customHeight="1" x14ac:dyDescent="0.4">
      <c r="A139" s="20">
        <v>1</v>
      </c>
      <c r="B139" s="20">
        <v>141</v>
      </c>
      <c r="C139" s="29">
        <v>67</v>
      </c>
      <c r="D139" s="22" t="s">
        <v>30</v>
      </c>
      <c r="E139" s="22">
        <v>0</v>
      </c>
      <c r="F139" s="22">
        <v>1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3">
        <v>44989.6430555556</v>
      </c>
      <c r="O139" s="23">
        <v>44995</v>
      </c>
      <c r="P139" s="24">
        <f t="shared" si="2"/>
        <v>6.3569444444001402</v>
      </c>
      <c r="Q139" s="20" t="s">
        <v>31</v>
      </c>
      <c r="R139" s="20" t="s">
        <v>31</v>
      </c>
      <c r="S139" s="22" t="s">
        <v>32</v>
      </c>
      <c r="T139" s="20">
        <v>6881.59</v>
      </c>
      <c r="U139" s="22" t="s">
        <v>39</v>
      </c>
      <c r="V139" s="25">
        <v>44993.687013888899</v>
      </c>
      <c r="W139" s="20" t="s">
        <v>58</v>
      </c>
      <c r="X139" s="20"/>
      <c r="Y139" s="26">
        <v>209.586944443232</v>
      </c>
      <c r="Z139" s="22" t="s">
        <v>35</v>
      </c>
      <c r="AA139" s="27">
        <v>1</v>
      </c>
      <c r="AB139" s="27" t="s">
        <v>31</v>
      </c>
      <c r="AC139" s="28">
        <v>3</v>
      </c>
      <c r="AD139" s="28" t="s">
        <v>31</v>
      </c>
    </row>
    <row r="140" spans="1:30" ht="14.55" customHeight="1" x14ac:dyDescent="0.4">
      <c r="A140" s="20">
        <v>1</v>
      </c>
      <c r="B140" s="20">
        <v>142</v>
      </c>
      <c r="C140" s="29">
        <v>57</v>
      </c>
      <c r="D140" s="22" t="s">
        <v>38</v>
      </c>
      <c r="E140" s="22">
        <v>0</v>
      </c>
      <c r="F140" s="22">
        <v>1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3">
        <v>44705.6069444444</v>
      </c>
      <c r="O140" s="23">
        <v>44713</v>
      </c>
      <c r="P140" s="24">
        <f t="shared" si="2"/>
        <v>8.3930555555998598</v>
      </c>
      <c r="Q140" s="20" t="s">
        <v>31</v>
      </c>
      <c r="R140" s="20" t="s">
        <v>31</v>
      </c>
      <c r="S140" s="20" t="s">
        <v>32</v>
      </c>
      <c r="T140" s="20">
        <v>8372.2199999999993</v>
      </c>
      <c r="U140" s="20" t="s">
        <v>36</v>
      </c>
      <c r="V140" s="25">
        <v>44711.502222222203</v>
      </c>
      <c r="W140" s="20" t="s">
        <v>34</v>
      </c>
      <c r="X140" s="20"/>
      <c r="Y140" s="26">
        <v>45.260000001580899</v>
      </c>
      <c r="Z140" s="22" t="s">
        <v>35</v>
      </c>
      <c r="AA140" s="27" t="s">
        <v>34</v>
      </c>
      <c r="AB140" s="27" t="s">
        <v>31</v>
      </c>
      <c r="AC140" s="28" t="s">
        <v>31</v>
      </c>
      <c r="AD140" s="28" t="s">
        <v>31</v>
      </c>
    </row>
    <row r="141" spans="1:30" ht="14.55" customHeight="1" x14ac:dyDescent="0.4">
      <c r="A141" s="20">
        <v>1</v>
      </c>
      <c r="B141" s="20">
        <v>143</v>
      </c>
      <c r="C141" s="29">
        <v>62</v>
      </c>
      <c r="D141" s="22" t="s">
        <v>30</v>
      </c>
      <c r="E141" s="22">
        <v>0</v>
      </c>
      <c r="F141" s="22">
        <v>1</v>
      </c>
      <c r="G141" s="22">
        <v>1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3">
        <v>44897.651388888902</v>
      </c>
      <c r="O141" s="23">
        <v>44910</v>
      </c>
      <c r="P141" s="24">
        <f t="shared" si="2"/>
        <v>13.348611111097901</v>
      </c>
      <c r="Q141" s="20" t="s">
        <v>31</v>
      </c>
      <c r="R141" s="20" t="s">
        <v>31</v>
      </c>
      <c r="S141" s="20" t="s">
        <v>32</v>
      </c>
      <c r="T141" s="20">
        <v>17868.18</v>
      </c>
      <c r="U141" s="20" t="s">
        <v>36</v>
      </c>
      <c r="V141" s="25">
        <v>44901.506261574097</v>
      </c>
      <c r="W141" s="20" t="s">
        <v>34</v>
      </c>
      <c r="X141" s="20"/>
      <c r="Y141" s="26">
        <v>47.210555556113803</v>
      </c>
      <c r="Z141" s="22" t="s">
        <v>35</v>
      </c>
      <c r="AA141" s="27" t="s">
        <v>34</v>
      </c>
      <c r="AB141" s="27" t="s">
        <v>31</v>
      </c>
      <c r="AC141" s="28" t="s">
        <v>31</v>
      </c>
      <c r="AD141" s="28" t="s">
        <v>31</v>
      </c>
    </row>
    <row r="142" spans="1:30" ht="14.55" customHeight="1" x14ac:dyDescent="0.4">
      <c r="A142" s="20">
        <v>1</v>
      </c>
      <c r="B142" s="20">
        <v>144</v>
      </c>
      <c r="C142" s="29">
        <v>58</v>
      </c>
      <c r="D142" s="22" t="s">
        <v>38</v>
      </c>
      <c r="E142" s="22">
        <v>0</v>
      </c>
      <c r="F142" s="22">
        <v>1</v>
      </c>
      <c r="G142" s="22">
        <v>0</v>
      </c>
      <c r="H142" s="22">
        <v>1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3">
        <v>44763.596527777801</v>
      </c>
      <c r="O142" s="23">
        <v>44771</v>
      </c>
      <c r="P142" s="24">
        <f t="shared" si="2"/>
        <v>8.4034722221986193</v>
      </c>
      <c r="Q142" s="20" t="s">
        <v>31</v>
      </c>
      <c r="R142" s="20" t="s">
        <v>31</v>
      </c>
      <c r="S142" s="20" t="s">
        <v>32</v>
      </c>
      <c r="T142" s="20">
        <v>10045.709999999999</v>
      </c>
      <c r="U142" s="20" t="s">
        <v>36</v>
      </c>
      <c r="V142" s="25">
        <v>44768.4699189815</v>
      </c>
      <c r="W142" s="20" t="s">
        <v>34</v>
      </c>
      <c r="X142" s="20"/>
      <c r="Y142" s="26">
        <v>45.7736111112172</v>
      </c>
      <c r="Z142" s="22" t="s">
        <v>35</v>
      </c>
      <c r="AA142" s="27" t="s">
        <v>34</v>
      </c>
      <c r="AB142" s="27" t="s">
        <v>31</v>
      </c>
      <c r="AC142" s="28" t="s">
        <v>31</v>
      </c>
      <c r="AD142" s="28" t="s">
        <v>31</v>
      </c>
    </row>
    <row r="143" spans="1:30" ht="14.55" customHeight="1" x14ac:dyDescent="0.4">
      <c r="A143" s="20">
        <v>1</v>
      </c>
      <c r="B143" s="20">
        <v>145</v>
      </c>
      <c r="C143" s="29">
        <v>58</v>
      </c>
      <c r="D143" s="22" t="s">
        <v>30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3">
        <v>44771.503472222197</v>
      </c>
      <c r="O143" s="23">
        <v>44781</v>
      </c>
      <c r="P143" s="24">
        <f t="shared" si="2"/>
        <v>10.4965277778028</v>
      </c>
      <c r="Q143" s="20" t="s">
        <v>31</v>
      </c>
      <c r="R143" s="20" t="s">
        <v>31</v>
      </c>
      <c r="S143" s="20" t="s">
        <v>32</v>
      </c>
      <c r="T143" s="20">
        <v>45213.36</v>
      </c>
      <c r="U143" s="20" t="s">
        <v>36</v>
      </c>
      <c r="V143" s="25">
        <v>44780.389398148203</v>
      </c>
      <c r="W143" s="20" t="s">
        <v>34</v>
      </c>
      <c r="X143" s="20"/>
      <c r="Y143" s="26">
        <v>49.655277777579599</v>
      </c>
      <c r="Z143" s="22" t="s">
        <v>35</v>
      </c>
      <c r="AA143" s="27" t="s">
        <v>34</v>
      </c>
      <c r="AB143" s="27" t="s">
        <v>31</v>
      </c>
      <c r="AC143" s="28" t="s">
        <v>31</v>
      </c>
      <c r="AD143" s="28" t="s">
        <v>31</v>
      </c>
    </row>
    <row r="144" spans="1:30" ht="14.55" customHeight="1" x14ac:dyDescent="0.4">
      <c r="A144" s="20">
        <v>1</v>
      </c>
      <c r="B144" s="20">
        <v>146</v>
      </c>
      <c r="C144" s="29">
        <v>63</v>
      </c>
      <c r="D144" s="22" t="s">
        <v>38</v>
      </c>
      <c r="E144" s="22">
        <v>0</v>
      </c>
      <c r="F144" s="22">
        <v>1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3">
        <v>44771.595833333296</v>
      </c>
      <c r="O144" s="23">
        <v>44778</v>
      </c>
      <c r="P144" s="24">
        <f t="shared" si="2"/>
        <v>7.4041666667035297</v>
      </c>
      <c r="Q144" s="20" t="s">
        <v>31</v>
      </c>
      <c r="R144" s="20" t="s">
        <v>31</v>
      </c>
      <c r="S144" s="20" t="s">
        <v>32</v>
      </c>
      <c r="T144" s="20">
        <v>8116.65</v>
      </c>
      <c r="U144" s="20" t="s">
        <v>40</v>
      </c>
      <c r="V144" s="25">
        <v>44776.485520833303</v>
      </c>
      <c r="W144" s="20" t="s">
        <v>34</v>
      </c>
      <c r="X144" s="20"/>
      <c r="Y144" s="26">
        <v>46.901111111976199</v>
      </c>
      <c r="Z144" s="22" t="s">
        <v>35</v>
      </c>
      <c r="AA144" s="27" t="s">
        <v>34</v>
      </c>
      <c r="AB144" s="27" t="s">
        <v>31</v>
      </c>
      <c r="AC144" s="28" t="s">
        <v>31</v>
      </c>
      <c r="AD144" s="28" t="s">
        <v>31</v>
      </c>
    </row>
    <row r="145" spans="1:30" ht="14.55" customHeight="1" x14ac:dyDescent="0.4">
      <c r="A145" s="20">
        <v>1</v>
      </c>
      <c r="B145" s="20">
        <v>147</v>
      </c>
      <c r="C145" s="29">
        <v>63</v>
      </c>
      <c r="D145" s="22" t="s">
        <v>38</v>
      </c>
      <c r="E145" s="22">
        <v>0</v>
      </c>
      <c r="F145" s="22">
        <v>1</v>
      </c>
      <c r="G145" s="22">
        <v>0</v>
      </c>
      <c r="H145" s="22">
        <v>0</v>
      </c>
      <c r="I145" s="22">
        <v>1</v>
      </c>
      <c r="J145" s="22">
        <v>0</v>
      </c>
      <c r="K145" s="22">
        <v>1</v>
      </c>
      <c r="L145" s="22">
        <v>0</v>
      </c>
      <c r="M145" s="22">
        <v>0</v>
      </c>
      <c r="N145" s="23">
        <v>44794.592361111099</v>
      </c>
      <c r="O145" s="23">
        <v>44798</v>
      </c>
      <c r="P145" s="24">
        <f t="shared" si="2"/>
        <v>4.4076388889006903</v>
      </c>
      <c r="Q145" s="20" t="s">
        <v>31</v>
      </c>
      <c r="R145" s="20" t="s">
        <v>31</v>
      </c>
      <c r="S145" s="20" t="s">
        <v>32</v>
      </c>
      <c r="T145" s="20">
        <v>8087.32</v>
      </c>
      <c r="U145" s="20" t="s">
        <v>39</v>
      </c>
      <c r="V145" s="25">
        <v>44796.488263888903</v>
      </c>
      <c r="W145" s="20" t="s">
        <v>34</v>
      </c>
      <c r="X145" s="20"/>
      <c r="Y145" s="26">
        <v>46.239722222322598</v>
      </c>
      <c r="Z145" s="22" t="s">
        <v>35</v>
      </c>
      <c r="AA145" s="27" t="s">
        <v>34</v>
      </c>
      <c r="AB145" s="27" t="s">
        <v>31</v>
      </c>
      <c r="AC145" s="28" t="s">
        <v>31</v>
      </c>
      <c r="AD145" s="28" t="s">
        <v>31</v>
      </c>
    </row>
    <row r="146" spans="1:30" ht="14.55" customHeight="1" x14ac:dyDescent="0.4">
      <c r="A146" s="20">
        <v>1</v>
      </c>
      <c r="B146" s="20">
        <v>148</v>
      </c>
      <c r="C146" s="29">
        <v>56</v>
      </c>
      <c r="D146" s="22" t="s">
        <v>38</v>
      </c>
      <c r="E146" s="22">
        <v>0</v>
      </c>
      <c r="F146" s="22">
        <v>1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3">
        <v>44793.401388888902</v>
      </c>
      <c r="O146" s="23">
        <v>44804</v>
      </c>
      <c r="P146" s="24">
        <f t="shared" si="2"/>
        <v>11.598611111097901</v>
      </c>
      <c r="Q146" s="20" t="s">
        <v>31</v>
      </c>
      <c r="R146" s="20" t="s">
        <v>31</v>
      </c>
      <c r="S146" s="20" t="s">
        <v>32</v>
      </c>
      <c r="T146" s="20">
        <v>19467.05</v>
      </c>
      <c r="U146" s="20" t="s">
        <v>40</v>
      </c>
      <c r="V146" s="25">
        <v>44796.488587963002</v>
      </c>
      <c r="W146" s="20" t="s">
        <v>34</v>
      </c>
      <c r="X146" s="20"/>
      <c r="Y146" s="26">
        <v>46.263611109636301</v>
      </c>
      <c r="Z146" s="22" t="s">
        <v>35</v>
      </c>
      <c r="AA146" s="27" t="s">
        <v>34</v>
      </c>
      <c r="AB146" s="27" t="s">
        <v>31</v>
      </c>
      <c r="AC146" s="28" t="s">
        <v>31</v>
      </c>
      <c r="AD146" s="28" t="s">
        <v>31</v>
      </c>
    </row>
    <row r="147" spans="1:30" ht="14.55" customHeight="1" x14ac:dyDescent="0.4">
      <c r="A147" s="20">
        <v>1</v>
      </c>
      <c r="B147" s="20">
        <v>149</v>
      </c>
      <c r="C147" s="29">
        <v>56</v>
      </c>
      <c r="D147" s="22" t="s">
        <v>38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3">
        <v>44877.607638888898</v>
      </c>
      <c r="O147" s="23">
        <v>44889</v>
      </c>
      <c r="P147" s="24">
        <f t="shared" si="2"/>
        <v>12.392361111102201</v>
      </c>
      <c r="Q147" s="20" t="s">
        <v>31</v>
      </c>
      <c r="R147" s="20" t="s">
        <v>31</v>
      </c>
      <c r="S147" s="20" t="s">
        <v>32</v>
      </c>
      <c r="T147" s="20">
        <v>15522.38</v>
      </c>
      <c r="U147" s="20" t="s">
        <v>40</v>
      </c>
      <c r="V147" s="25">
        <v>44882.485694444404</v>
      </c>
      <c r="W147" s="20" t="s">
        <v>34</v>
      </c>
      <c r="X147" s="20"/>
      <c r="Y147" s="26">
        <v>48.884166667121498</v>
      </c>
      <c r="Z147" s="22" t="s">
        <v>35</v>
      </c>
      <c r="AA147" s="27" t="s">
        <v>34</v>
      </c>
      <c r="AB147" s="27" t="s">
        <v>31</v>
      </c>
      <c r="AC147" s="28" t="s">
        <v>31</v>
      </c>
      <c r="AD147" s="28" t="s">
        <v>31</v>
      </c>
    </row>
    <row r="148" spans="1:30" ht="14.55" customHeight="1" x14ac:dyDescent="0.4">
      <c r="A148" s="20">
        <v>1</v>
      </c>
      <c r="B148" s="20">
        <v>150</v>
      </c>
      <c r="C148" s="29">
        <v>60</v>
      </c>
      <c r="D148" s="22" t="s">
        <v>30</v>
      </c>
      <c r="E148" s="22">
        <v>0</v>
      </c>
      <c r="F148" s="22">
        <v>1</v>
      </c>
      <c r="G148" s="22">
        <v>1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3">
        <v>45006.604166666701</v>
      </c>
      <c r="O148" s="23">
        <v>45024</v>
      </c>
      <c r="P148" s="24">
        <f t="shared" si="2"/>
        <v>18.3958333332994</v>
      </c>
      <c r="Q148" s="20" t="s">
        <v>31</v>
      </c>
      <c r="R148" s="20" t="s">
        <v>31</v>
      </c>
      <c r="S148" s="22" t="s">
        <v>32</v>
      </c>
      <c r="T148" s="26">
        <v>17231.400000000001</v>
      </c>
      <c r="U148" s="22" t="s">
        <v>33</v>
      </c>
      <c r="V148" s="25">
        <v>45014.6399537037</v>
      </c>
      <c r="W148" s="20" t="s">
        <v>48</v>
      </c>
      <c r="X148" s="20"/>
      <c r="Y148" s="26">
        <v>216.15666666714199</v>
      </c>
      <c r="Z148" s="22" t="s">
        <v>35</v>
      </c>
      <c r="AA148" s="27">
        <v>1</v>
      </c>
      <c r="AB148" s="27" t="s">
        <v>31</v>
      </c>
      <c r="AC148" s="28">
        <v>1</v>
      </c>
      <c r="AD148" s="28" t="s">
        <v>31</v>
      </c>
    </row>
    <row r="149" spans="1:30" ht="14.55" customHeight="1" x14ac:dyDescent="0.4">
      <c r="A149" s="20">
        <v>1</v>
      </c>
      <c r="B149" s="20">
        <v>151</v>
      </c>
      <c r="C149" s="29">
        <v>65</v>
      </c>
      <c r="D149" s="22" t="s">
        <v>38</v>
      </c>
      <c r="E149" s="22">
        <v>0</v>
      </c>
      <c r="F149" s="22">
        <v>1</v>
      </c>
      <c r="G149" s="22">
        <v>0</v>
      </c>
      <c r="H149" s="22">
        <v>1</v>
      </c>
      <c r="I149" s="22">
        <v>1</v>
      </c>
      <c r="J149" s="22">
        <v>0</v>
      </c>
      <c r="K149" s="22">
        <v>0</v>
      </c>
      <c r="L149" s="22">
        <v>0</v>
      </c>
      <c r="M149" s="22">
        <v>0</v>
      </c>
      <c r="N149" s="23">
        <v>44832.736111111102</v>
      </c>
      <c r="O149" s="23">
        <v>44844</v>
      </c>
      <c r="P149" s="24">
        <f t="shared" si="2"/>
        <v>12.263888888897799</v>
      </c>
      <c r="Q149" s="20" t="s">
        <v>31</v>
      </c>
      <c r="R149" s="20" t="s">
        <v>31</v>
      </c>
      <c r="S149" s="20" t="s">
        <v>32</v>
      </c>
      <c r="T149" s="26">
        <v>11093.8</v>
      </c>
      <c r="U149" s="20" t="s">
        <v>36</v>
      </c>
      <c r="V149" s="25">
        <v>44844.610023148103</v>
      </c>
      <c r="W149" s="20" t="s">
        <v>34</v>
      </c>
      <c r="X149" s="20"/>
      <c r="Y149" s="26">
        <v>44.003333335043898</v>
      </c>
      <c r="Z149" s="22" t="s">
        <v>35</v>
      </c>
      <c r="AA149" s="27" t="s">
        <v>34</v>
      </c>
      <c r="AB149" s="27" t="s">
        <v>31</v>
      </c>
      <c r="AC149" s="28" t="s">
        <v>31</v>
      </c>
      <c r="AD149" s="28" t="s">
        <v>31</v>
      </c>
    </row>
    <row r="150" spans="1:30" ht="14.55" customHeight="1" x14ac:dyDescent="0.4">
      <c r="A150" s="20">
        <v>1</v>
      </c>
      <c r="B150" s="20">
        <v>152</v>
      </c>
      <c r="C150" s="29">
        <v>57</v>
      </c>
      <c r="D150" s="22" t="s">
        <v>38</v>
      </c>
      <c r="E150" s="22">
        <v>0</v>
      </c>
      <c r="F150" s="22">
        <v>1</v>
      </c>
      <c r="G150" s="22">
        <v>0</v>
      </c>
      <c r="H150" s="22">
        <v>0</v>
      </c>
      <c r="I150" s="22">
        <v>0</v>
      </c>
      <c r="J150" s="22">
        <v>1</v>
      </c>
      <c r="K150" s="22">
        <v>0</v>
      </c>
      <c r="L150" s="22">
        <v>0</v>
      </c>
      <c r="M150" s="22">
        <v>0</v>
      </c>
      <c r="N150" s="23">
        <v>44856.616666666698</v>
      </c>
      <c r="O150" s="23">
        <v>44866</v>
      </c>
      <c r="P150" s="24">
        <f t="shared" si="2"/>
        <v>10.3833333333023</v>
      </c>
      <c r="Q150" s="20" t="s">
        <v>31</v>
      </c>
      <c r="R150" s="20" t="s">
        <v>31</v>
      </c>
      <c r="S150" s="20" t="s">
        <v>32</v>
      </c>
      <c r="T150" s="26">
        <v>14720.3</v>
      </c>
      <c r="U150" s="20" t="s">
        <v>40</v>
      </c>
      <c r="V150" s="25">
        <v>44861.611747685201</v>
      </c>
      <c r="W150" s="20" t="s">
        <v>34</v>
      </c>
      <c r="X150" s="20"/>
      <c r="Y150" s="26">
        <v>48.468611109594299</v>
      </c>
      <c r="Z150" s="22" t="s">
        <v>35</v>
      </c>
      <c r="AA150" s="27" t="s">
        <v>34</v>
      </c>
      <c r="AB150" s="27" t="s">
        <v>31</v>
      </c>
      <c r="AC150" s="28" t="s">
        <v>31</v>
      </c>
      <c r="AD150" s="28" t="s">
        <v>31</v>
      </c>
    </row>
    <row r="151" spans="1:30" ht="14.55" customHeight="1" x14ac:dyDescent="0.4">
      <c r="A151" s="20">
        <v>1</v>
      </c>
      <c r="B151" s="20">
        <v>153</v>
      </c>
      <c r="C151" s="29">
        <v>58</v>
      </c>
      <c r="D151" s="22" t="s">
        <v>38</v>
      </c>
      <c r="E151" s="22">
        <v>0</v>
      </c>
      <c r="F151" s="22">
        <v>0</v>
      </c>
      <c r="G151" s="22">
        <v>0</v>
      </c>
      <c r="H151" s="22">
        <v>1</v>
      </c>
      <c r="I151" s="22">
        <v>0</v>
      </c>
      <c r="J151" s="22">
        <v>0</v>
      </c>
      <c r="K151" s="22">
        <v>1</v>
      </c>
      <c r="L151" s="22">
        <v>0</v>
      </c>
      <c r="M151" s="22">
        <v>1</v>
      </c>
      <c r="N151" s="23">
        <v>44972.979861111096</v>
      </c>
      <c r="O151" s="23">
        <v>44987</v>
      </c>
      <c r="P151" s="24">
        <f t="shared" si="2"/>
        <v>15.020138888903601</v>
      </c>
      <c r="Q151" s="20" t="s">
        <v>31</v>
      </c>
      <c r="R151" s="20" t="s">
        <v>31</v>
      </c>
      <c r="S151" s="20" t="s">
        <v>32</v>
      </c>
      <c r="T151" s="20">
        <v>235259.05</v>
      </c>
      <c r="U151" s="20" t="s">
        <v>40</v>
      </c>
      <c r="V151" s="25">
        <v>44974.695555555598</v>
      </c>
      <c r="W151" s="20" t="s">
        <v>34</v>
      </c>
      <c r="X151" s="20"/>
      <c r="Y151" s="26">
        <v>41.583611109643201</v>
      </c>
      <c r="Z151" s="22" t="s">
        <v>35</v>
      </c>
      <c r="AA151" s="27" t="s">
        <v>34</v>
      </c>
      <c r="AB151" s="27" t="s">
        <v>31</v>
      </c>
      <c r="AC151" s="28" t="s">
        <v>31</v>
      </c>
      <c r="AD151" s="28" t="s">
        <v>31</v>
      </c>
    </row>
    <row r="152" spans="1:30" ht="14.55" customHeight="1" x14ac:dyDescent="0.4">
      <c r="A152" s="20">
        <v>1</v>
      </c>
      <c r="B152" s="20">
        <v>154</v>
      </c>
      <c r="C152" s="29">
        <v>68</v>
      </c>
      <c r="D152" s="22" t="s">
        <v>38</v>
      </c>
      <c r="E152" s="22">
        <v>0</v>
      </c>
      <c r="F152" s="22">
        <v>0</v>
      </c>
      <c r="G152" s="22">
        <v>0</v>
      </c>
      <c r="H152" s="22">
        <v>1</v>
      </c>
      <c r="I152" s="22">
        <v>1</v>
      </c>
      <c r="J152" s="22">
        <v>0</v>
      </c>
      <c r="K152" s="22">
        <v>0</v>
      </c>
      <c r="L152" s="22">
        <v>0</v>
      </c>
      <c r="M152" s="22">
        <v>0</v>
      </c>
      <c r="N152" s="23">
        <v>44879.704861111102</v>
      </c>
      <c r="O152" s="23">
        <v>44887</v>
      </c>
      <c r="P152" s="24">
        <f t="shared" si="2"/>
        <v>8.2951388888977799</v>
      </c>
      <c r="Q152" s="20" t="s">
        <v>31</v>
      </c>
      <c r="R152" s="20" t="s">
        <v>31</v>
      </c>
      <c r="S152" s="20" t="s">
        <v>32</v>
      </c>
      <c r="T152" s="20">
        <v>16085.34</v>
      </c>
      <c r="U152" s="20" t="s">
        <v>36</v>
      </c>
      <c r="V152" s="25">
        <v>44883.6348842593</v>
      </c>
      <c r="W152" s="20" t="s">
        <v>34</v>
      </c>
      <c r="X152" s="20"/>
      <c r="Y152" s="26">
        <v>42.173333332815702</v>
      </c>
      <c r="Z152" s="22" t="s">
        <v>35</v>
      </c>
      <c r="AA152" s="27" t="s">
        <v>34</v>
      </c>
      <c r="AB152" s="27" t="s">
        <v>31</v>
      </c>
      <c r="AC152" s="28" t="s">
        <v>31</v>
      </c>
      <c r="AD152" s="28" t="s">
        <v>31</v>
      </c>
    </row>
    <row r="153" spans="1:30" ht="14.55" customHeight="1" x14ac:dyDescent="0.4">
      <c r="A153" s="20">
        <v>1</v>
      </c>
      <c r="B153" s="20">
        <v>155</v>
      </c>
      <c r="C153" s="29">
        <v>64</v>
      </c>
      <c r="D153" s="22" t="s">
        <v>30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3">
        <v>44822.722222222197</v>
      </c>
      <c r="O153" s="23">
        <v>44835</v>
      </c>
      <c r="P153" s="24">
        <f t="shared" si="2"/>
        <v>13.2777777778028</v>
      </c>
      <c r="Q153" s="20" t="s">
        <v>31</v>
      </c>
      <c r="R153" s="20" t="s">
        <v>31</v>
      </c>
      <c r="S153" s="20" t="s">
        <v>32</v>
      </c>
      <c r="T153" s="26">
        <v>10858.6</v>
      </c>
      <c r="U153" s="20" t="s">
        <v>40</v>
      </c>
      <c r="V153" s="25">
        <v>44832.469189814801</v>
      </c>
      <c r="W153" s="20" t="s">
        <v>34</v>
      </c>
      <c r="X153" s="20"/>
      <c r="Y153" s="26">
        <v>46.376666666299599</v>
      </c>
      <c r="Z153" s="22" t="s">
        <v>35</v>
      </c>
      <c r="AA153" s="27" t="s">
        <v>34</v>
      </c>
      <c r="AB153" s="27" t="s">
        <v>31</v>
      </c>
      <c r="AC153" s="28" t="s">
        <v>31</v>
      </c>
      <c r="AD153" s="28" t="s">
        <v>31</v>
      </c>
    </row>
    <row r="154" spans="1:30" ht="14.55" customHeight="1" x14ac:dyDescent="0.4">
      <c r="A154" s="20">
        <v>1</v>
      </c>
      <c r="B154" s="20">
        <v>156</v>
      </c>
      <c r="C154" s="29">
        <v>61</v>
      </c>
      <c r="D154" s="22" t="s">
        <v>30</v>
      </c>
      <c r="E154" s="22">
        <v>0</v>
      </c>
      <c r="F154" s="22">
        <v>1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3">
        <v>44909.477083333302</v>
      </c>
      <c r="O154" s="23">
        <v>44927</v>
      </c>
      <c r="P154" s="24">
        <f t="shared" si="2"/>
        <v>18.5229166666977</v>
      </c>
      <c r="Q154" s="20" t="s">
        <v>31</v>
      </c>
      <c r="R154" s="20" t="s">
        <v>31</v>
      </c>
      <c r="S154" s="20" t="s">
        <v>32</v>
      </c>
      <c r="T154" s="26">
        <v>31163.7</v>
      </c>
      <c r="U154" s="20" t="s">
        <v>40</v>
      </c>
      <c r="V154" s="25">
        <v>44914.712361111102</v>
      </c>
      <c r="W154" s="20" t="s">
        <v>55</v>
      </c>
      <c r="X154" s="20"/>
      <c r="Y154" s="26">
        <v>87.4527777791955</v>
      </c>
      <c r="Z154" s="22" t="s">
        <v>35</v>
      </c>
      <c r="AA154" s="27">
        <v>1</v>
      </c>
      <c r="AB154" s="27" t="s">
        <v>31</v>
      </c>
      <c r="AC154" s="28">
        <v>1</v>
      </c>
      <c r="AD154" s="28" t="s">
        <v>31</v>
      </c>
    </row>
    <row r="155" spans="1:30" ht="14.55" customHeight="1" x14ac:dyDescent="0.4">
      <c r="A155" s="20">
        <v>1</v>
      </c>
      <c r="B155" s="20">
        <v>157</v>
      </c>
      <c r="C155" s="29">
        <v>63</v>
      </c>
      <c r="D155" s="22" t="s">
        <v>38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3">
        <v>44891.4555555556</v>
      </c>
      <c r="O155" s="23">
        <v>44899</v>
      </c>
      <c r="P155" s="24">
        <f t="shared" si="2"/>
        <v>8.5444444444001402</v>
      </c>
      <c r="Q155" s="20" t="s">
        <v>31</v>
      </c>
      <c r="R155" s="20" t="s">
        <v>31</v>
      </c>
      <c r="S155" s="20" t="s">
        <v>32</v>
      </c>
      <c r="T155" s="20">
        <v>130243.74</v>
      </c>
      <c r="U155" s="20" t="s">
        <v>40</v>
      </c>
      <c r="V155" s="25">
        <v>44893.680208333302</v>
      </c>
      <c r="W155" s="20" t="s">
        <v>34</v>
      </c>
      <c r="X155" s="20"/>
      <c r="Y155" s="26">
        <v>41.625</v>
      </c>
      <c r="Z155" s="22" t="s">
        <v>35</v>
      </c>
      <c r="AA155" s="27" t="s">
        <v>34</v>
      </c>
      <c r="AB155" s="27" t="s">
        <v>31</v>
      </c>
      <c r="AC155" s="28" t="s">
        <v>31</v>
      </c>
      <c r="AD155" s="28" t="s">
        <v>31</v>
      </c>
    </row>
    <row r="156" spans="1:30" ht="14.55" customHeight="1" x14ac:dyDescent="0.4">
      <c r="A156" s="20">
        <v>1</v>
      </c>
      <c r="B156" s="20">
        <v>158</v>
      </c>
      <c r="C156" s="29">
        <v>68</v>
      </c>
      <c r="D156" s="22" t="s">
        <v>30</v>
      </c>
      <c r="E156" s="22">
        <v>1</v>
      </c>
      <c r="F156" s="22">
        <v>0</v>
      </c>
      <c r="G156" s="22">
        <v>0</v>
      </c>
      <c r="H156" s="22">
        <v>1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3">
        <v>45007.5493055556</v>
      </c>
      <c r="O156" s="23">
        <v>45052</v>
      </c>
      <c r="P156" s="24">
        <f t="shared" si="2"/>
        <v>45.450694444400099</v>
      </c>
      <c r="Q156" s="20" t="s">
        <v>31</v>
      </c>
      <c r="R156" s="20" t="s">
        <v>31</v>
      </c>
      <c r="S156" s="20" t="s">
        <v>32</v>
      </c>
      <c r="T156" s="20">
        <v>325172.95</v>
      </c>
      <c r="U156" s="20" t="s">
        <v>40</v>
      </c>
      <c r="V156" s="25">
        <v>45014.566168981502</v>
      </c>
      <c r="W156" s="20" t="s">
        <v>52</v>
      </c>
      <c r="X156" s="20"/>
      <c r="Y156" s="26">
        <v>66.563055554288397</v>
      </c>
      <c r="Z156" s="22" t="s">
        <v>35</v>
      </c>
      <c r="AA156" s="27">
        <v>1</v>
      </c>
      <c r="AB156" s="27" t="s">
        <v>31</v>
      </c>
      <c r="AC156" s="28">
        <v>2</v>
      </c>
      <c r="AD156" s="28" t="s">
        <v>31</v>
      </c>
    </row>
    <row r="157" spans="1:30" ht="14.55" customHeight="1" x14ac:dyDescent="0.4">
      <c r="A157" s="20">
        <v>1</v>
      </c>
      <c r="B157" s="20">
        <v>159</v>
      </c>
      <c r="C157" s="29">
        <v>68</v>
      </c>
      <c r="D157" s="22" t="s">
        <v>38</v>
      </c>
      <c r="E157" s="22">
        <v>0</v>
      </c>
      <c r="F157" s="22">
        <v>1</v>
      </c>
      <c r="G157" s="22">
        <v>1</v>
      </c>
      <c r="H157" s="22">
        <v>1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3">
        <v>45006.627083333296</v>
      </c>
      <c r="O157" s="23">
        <v>45014</v>
      </c>
      <c r="P157" s="24">
        <f t="shared" si="2"/>
        <v>8.3729166667035297</v>
      </c>
      <c r="Q157" s="20" t="s">
        <v>31</v>
      </c>
      <c r="R157" s="20" t="s">
        <v>31</v>
      </c>
      <c r="S157" s="20" t="s">
        <v>32</v>
      </c>
      <c r="T157" s="20">
        <v>12853.84</v>
      </c>
      <c r="U157" s="20" t="s">
        <v>36</v>
      </c>
      <c r="V157" s="25">
        <v>45008.628946759301</v>
      </c>
      <c r="W157" s="20" t="s">
        <v>34</v>
      </c>
      <c r="X157" s="20"/>
      <c r="Y157" s="26">
        <v>45.682777776033603</v>
      </c>
      <c r="Z157" s="22" t="s">
        <v>35</v>
      </c>
      <c r="AA157" s="27" t="s">
        <v>34</v>
      </c>
      <c r="AB157" s="27" t="s">
        <v>31</v>
      </c>
      <c r="AC157" s="28" t="s">
        <v>31</v>
      </c>
      <c r="AD157" s="28" t="s">
        <v>31</v>
      </c>
    </row>
    <row r="158" spans="1:30" ht="14.55" customHeight="1" x14ac:dyDescent="0.4">
      <c r="A158" s="20">
        <v>1</v>
      </c>
      <c r="B158" s="20">
        <v>160</v>
      </c>
      <c r="C158" s="29">
        <v>67</v>
      </c>
      <c r="D158" s="22" t="s">
        <v>30</v>
      </c>
      <c r="E158" s="22">
        <v>0</v>
      </c>
      <c r="F158" s="22">
        <v>1</v>
      </c>
      <c r="G158" s="22">
        <v>0</v>
      </c>
      <c r="H158" s="22">
        <v>1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3">
        <v>44692.613194444399</v>
      </c>
      <c r="O158" s="23">
        <v>44698</v>
      </c>
      <c r="P158" s="24">
        <f t="shared" si="2"/>
        <v>6.3868055556013097</v>
      </c>
      <c r="Q158" s="20" t="s">
        <v>31</v>
      </c>
      <c r="R158" s="20" t="s">
        <v>31</v>
      </c>
      <c r="S158" s="20" t="s">
        <v>32</v>
      </c>
      <c r="T158" s="20">
        <v>6878.16</v>
      </c>
      <c r="U158" s="20" t="s">
        <v>36</v>
      </c>
      <c r="V158" s="25">
        <v>44693.613981481503</v>
      </c>
      <c r="W158" s="20" t="s">
        <v>34</v>
      </c>
      <c r="X158" s="20"/>
      <c r="Y158" s="26">
        <v>44.803888888796799</v>
      </c>
      <c r="Z158" s="22" t="s">
        <v>35</v>
      </c>
      <c r="AA158" s="27" t="s">
        <v>34</v>
      </c>
      <c r="AB158" s="27" t="s">
        <v>31</v>
      </c>
      <c r="AC158" s="28" t="s">
        <v>31</v>
      </c>
      <c r="AD158" s="28" t="s">
        <v>31</v>
      </c>
    </row>
    <row r="159" spans="1:30" ht="14.55" customHeight="1" x14ac:dyDescent="0.4">
      <c r="A159" s="20">
        <v>1</v>
      </c>
      <c r="B159" s="20">
        <v>161</v>
      </c>
      <c r="C159" s="29">
        <v>59</v>
      </c>
      <c r="D159" s="22" t="s">
        <v>30</v>
      </c>
      <c r="E159" s="22">
        <v>0</v>
      </c>
      <c r="F159" s="22">
        <v>1</v>
      </c>
      <c r="G159" s="22">
        <v>1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3">
        <v>44958.021527777797</v>
      </c>
      <c r="O159" s="23">
        <v>44969</v>
      </c>
      <c r="P159" s="24">
        <f t="shared" si="2"/>
        <v>11.978472222202999</v>
      </c>
      <c r="Q159" s="20" t="s">
        <v>31</v>
      </c>
      <c r="R159" s="20" t="s">
        <v>31</v>
      </c>
      <c r="S159" s="20" t="s">
        <v>32</v>
      </c>
      <c r="T159" s="20">
        <v>148070.63</v>
      </c>
      <c r="U159" s="20" t="s">
        <v>36</v>
      </c>
      <c r="V159" s="25">
        <v>44967.516284722202</v>
      </c>
      <c r="W159" s="20" t="s">
        <v>59</v>
      </c>
      <c r="X159" s="20"/>
      <c r="Y159" s="26">
        <v>68.745833332766793</v>
      </c>
      <c r="Z159" s="22" t="s">
        <v>35</v>
      </c>
      <c r="AA159" s="27">
        <v>1</v>
      </c>
      <c r="AB159" s="27" t="s">
        <v>31</v>
      </c>
      <c r="AC159" s="28">
        <v>1</v>
      </c>
      <c r="AD159" s="28" t="s">
        <v>31</v>
      </c>
    </row>
    <row r="160" spans="1:30" ht="14.55" customHeight="1" x14ac:dyDescent="0.4">
      <c r="A160" s="20">
        <v>1</v>
      </c>
      <c r="B160" s="20">
        <v>162</v>
      </c>
      <c r="C160" s="29">
        <v>56</v>
      </c>
      <c r="D160" s="22" t="s">
        <v>38</v>
      </c>
      <c r="E160" s="22">
        <v>0</v>
      </c>
      <c r="F160" s="22">
        <v>1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3">
        <v>44756.6652777778</v>
      </c>
      <c r="O160" s="23">
        <v>44766</v>
      </c>
      <c r="P160" s="24">
        <f t="shared" si="2"/>
        <v>10.334722222200099</v>
      </c>
      <c r="Q160" s="20" t="s">
        <v>31</v>
      </c>
      <c r="R160" s="20" t="s">
        <v>31</v>
      </c>
      <c r="S160" s="20" t="s">
        <v>32</v>
      </c>
      <c r="T160" s="26">
        <v>8515</v>
      </c>
      <c r="U160" s="20" t="s">
        <v>36</v>
      </c>
      <c r="V160" s="25">
        <v>44760.684513888897</v>
      </c>
      <c r="W160" s="20" t="s">
        <v>34</v>
      </c>
      <c r="X160" s="20"/>
      <c r="Y160" s="26">
        <v>41.1594444433576</v>
      </c>
      <c r="Z160" s="22" t="s">
        <v>35</v>
      </c>
      <c r="AA160" s="27" t="s">
        <v>34</v>
      </c>
      <c r="AB160" s="27" t="s">
        <v>31</v>
      </c>
      <c r="AC160" s="28" t="s">
        <v>31</v>
      </c>
      <c r="AD160" s="28" t="s">
        <v>31</v>
      </c>
    </row>
    <row r="161" spans="1:30" ht="14.55" customHeight="1" x14ac:dyDescent="0.4">
      <c r="A161" s="20">
        <v>1</v>
      </c>
      <c r="B161" s="20">
        <v>163</v>
      </c>
      <c r="C161" s="29">
        <v>62</v>
      </c>
      <c r="D161" s="22" t="s">
        <v>30</v>
      </c>
      <c r="E161" s="22">
        <v>0</v>
      </c>
      <c r="F161" s="22">
        <v>1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1</v>
      </c>
      <c r="M161" s="22">
        <v>0</v>
      </c>
      <c r="N161" s="23">
        <v>44897.854861111096</v>
      </c>
      <c r="O161" s="23">
        <v>44908</v>
      </c>
      <c r="P161" s="24">
        <f t="shared" si="2"/>
        <v>11.145138888903601</v>
      </c>
      <c r="Q161" s="20" t="s">
        <v>31</v>
      </c>
      <c r="R161" s="20" t="s">
        <v>31</v>
      </c>
      <c r="S161" s="20" t="s">
        <v>32</v>
      </c>
      <c r="T161" s="20">
        <v>50473.66</v>
      </c>
      <c r="U161" s="20" t="s">
        <v>40</v>
      </c>
      <c r="V161" s="25">
        <v>44902.515601851803</v>
      </c>
      <c r="W161" s="20" t="s">
        <v>34</v>
      </c>
      <c r="X161" s="20"/>
      <c r="Y161" s="26">
        <v>44.693333335162599</v>
      </c>
      <c r="Z161" s="22" t="s">
        <v>35</v>
      </c>
      <c r="AA161" s="27" t="s">
        <v>34</v>
      </c>
      <c r="AB161" s="27" t="s">
        <v>31</v>
      </c>
      <c r="AC161" s="28" t="s">
        <v>31</v>
      </c>
      <c r="AD161" s="28" t="s">
        <v>31</v>
      </c>
    </row>
    <row r="162" spans="1:30" ht="14.55" customHeight="1" x14ac:dyDescent="0.4">
      <c r="A162" s="20">
        <v>1</v>
      </c>
      <c r="B162" s="20">
        <v>164</v>
      </c>
      <c r="C162" s="29">
        <v>59</v>
      </c>
      <c r="D162" s="22" t="s">
        <v>38</v>
      </c>
      <c r="E162" s="22">
        <v>0</v>
      </c>
      <c r="F162" s="22">
        <v>1</v>
      </c>
      <c r="G162" s="22">
        <v>1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3">
        <v>44745.596527777801</v>
      </c>
      <c r="O162" s="23">
        <v>44757</v>
      </c>
      <c r="P162" s="24">
        <f t="shared" si="2"/>
        <v>12.4034722221986</v>
      </c>
      <c r="Q162" s="20" t="s">
        <v>31</v>
      </c>
      <c r="R162" s="20" t="s">
        <v>31</v>
      </c>
      <c r="S162" s="20" t="s">
        <v>32</v>
      </c>
      <c r="T162" s="20">
        <v>11027.66</v>
      </c>
      <c r="U162" s="20" t="s">
        <v>39</v>
      </c>
      <c r="V162" s="25">
        <v>44749.486377314803</v>
      </c>
      <c r="W162" s="20" t="s">
        <v>34</v>
      </c>
      <c r="X162" s="20"/>
      <c r="Y162" s="26">
        <v>46.565277777495801</v>
      </c>
      <c r="Z162" s="22" t="s">
        <v>35</v>
      </c>
      <c r="AA162" s="27" t="s">
        <v>34</v>
      </c>
      <c r="AB162" s="27" t="s">
        <v>31</v>
      </c>
      <c r="AC162" s="28" t="s">
        <v>31</v>
      </c>
      <c r="AD162" s="28" t="s">
        <v>31</v>
      </c>
    </row>
    <row r="163" spans="1:30" ht="14.55" customHeight="1" x14ac:dyDescent="0.4">
      <c r="A163" s="20">
        <v>1</v>
      </c>
      <c r="B163" s="20">
        <v>165</v>
      </c>
      <c r="C163" s="29">
        <v>58</v>
      </c>
      <c r="D163" s="22" t="s">
        <v>30</v>
      </c>
      <c r="E163" s="22">
        <v>0</v>
      </c>
      <c r="F163" s="22">
        <v>1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3">
        <v>44824.585416666698</v>
      </c>
      <c r="O163" s="23">
        <v>44827</v>
      </c>
      <c r="P163" s="24">
        <f t="shared" si="2"/>
        <v>3.4145833333022901</v>
      </c>
      <c r="Q163" s="20" t="s">
        <v>31</v>
      </c>
      <c r="R163" s="20" t="s">
        <v>31</v>
      </c>
      <c r="S163" s="20" t="s">
        <v>32</v>
      </c>
      <c r="T163" s="20">
        <v>7970.95</v>
      </c>
      <c r="U163" s="20" t="s">
        <v>36</v>
      </c>
      <c r="V163" s="25">
        <v>44826.512592592597</v>
      </c>
      <c r="W163" s="20" t="s">
        <v>34</v>
      </c>
      <c r="X163" s="20"/>
      <c r="Y163" s="26">
        <v>49.154722221661402</v>
      </c>
      <c r="Z163" s="22" t="s">
        <v>35</v>
      </c>
      <c r="AA163" s="27" t="s">
        <v>34</v>
      </c>
      <c r="AB163" s="27" t="s">
        <v>31</v>
      </c>
      <c r="AC163" s="28" t="s">
        <v>31</v>
      </c>
      <c r="AD163" s="28" t="s">
        <v>31</v>
      </c>
    </row>
    <row r="164" spans="1:30" ht="14.55" customHeight="1" x14ac:dyDescent="0.4">
      <c r="A164" s="20">
        <v>1</v>
      </c>
      <c r="B164" s="20">
        <v>166</v>
      </c>
      <c r="C164" s="29">
        <v>56</v>
      </c>
      <c r="D164" s="22" t="s">
        <v>38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3">
        <v>44818.609722222202</v>
      </c>
      <c r="O164" s="23">
        <v>44828</v>
      </c>
      <c r="P164" s="24">
        <f t="shared" si="2"/>
        <v>10.3902777777985</v>
      </c>
      <c r="Q164" s="20" t="s">
        <v>31</v>
      </c>
      <c r="R164" s="20" t="s">
        <v>31</v>
      </c>
      <c r="S164" s="20" t="s">
        <v>32</v>
      </c>
      <c r="T164" s="20">
        <v>13344.12</v>
      </c>
      <c r="U164" s="20" t="s">
        <v>40</v>
      </c>
      <c r="V164" s="25">
        <v>44824.500659722202</v>
      </c>
      <c r="W164" s="20" t="s">
        <v>34</v>
      </c>
      <c r="X164" s="20"/>
      <c r="Y164" s="26">
        <v>45.913611112686297</v>
      </c>
      <c r="Z164" s="22" t="s">
        <v>35</v>
      </c>
      <c r="AA164" s="27" t="s">
        <v>34</v>
      </c>
      <c r="AB164" s="27" t="s">
        <v>31</v>
      </c>
      <c r="AC164" s="28" t="s">
        <v>31</v>
      </c>
      <c r="AD164" s="28" t="s">
        <v>31</v>
      </c>
    </row>
    <row r="165" spans="1:30" ht="14.55" customHeight="1" x14ac:dyDescent="0.4">
      <c r="A165" s="20">
        <v>1</v>
      </c>
      <c r="B165" s="20">
        <v>167</v>
      </c>
      <c r="C165" s="29">
        <v>55</v>
      </c>
      <c r="D165" s="22" t="s">
        <v>30</v>
      </c>
      <c r="E165" s="22">
        <v>0</v>
      </c>
      <c r="F165" s="22">
        <v>0</v>
      </c>
      <c r="G165" s="22">
        <v>0</v>
      </c>
      <c r="H165" s="22">
        <v>1</v>
      </c>
      <c r="I165" s="22">
        <v>0</v>
      </c>
      <c r="J165" s="22">
        <v>0</v>
      </c>
      <c r="K165" s="22">
        <v>1</v>
      </c>
      <c r="L165" s="22">
        <v>0</v>
      </c>
      <c r="M165" s="22">
        <v>0</v>
      </c>
      <c r="N165" s="23">
        <v>44790.986111111102</v>
      </c>
      <c r="O165" s="23">
        <v>44811</v>
      </c>
      <c r="P165" s="24">
        <f t="shared" si="2"/>
        <v>21.013888888897799</v>
      </c>
      <c r="Q165" s="20" t="s">
        <v>31</v>
      </c>
      <c r="R165" s="20" t="s">
        <v>31</v>
      </c>
      <c r="S165" s="20" t="s">
        <v>32</v>
      </c>
      <c r="T165" s="20">
        <v>133031.66</v>
      </c>
      <c r="U165" s="20" t="s">
        <v>51</v>
      </c>
      <c r="V165" s="25">
        <v>44798.702650462998</v>
      </c>
      <c r="W165" s="20" t="s">
        <v>34</v>
      </c>
      <c r="X165" s="20"/>
      <c r="Y165" s="26">
        <v>40.417500000097803</v>
      </c>
      <c r="Z165" s="22" t="s">
        <v>35</v>
      </c>
      <c r="AA165" s="27" t="s">
        <v>34</v>
      </c>
      <c r="AB165" s="27" t="s">
        <v>31</v>
      </c>
      <c r="AC165" s="28" t="s">
        <v>31</v>
      </c>
      <c r="AD165" s="28" t="s">
        <v>31</v>
      </c>
    </row>
    <row r="166" spans="1:30" ht="14.55" customHeight="1" x14ac:dyDescent="0.4">
      <c r="A166" s="20">
        <v>1</v>
      </c>
      <c r="B166" s="20">
        <v>168</v>
      </c>
      <c r="C166" s="29">
        <v>59</v>
      </c>
      <c r="D166" s="22" t="s">
        <v>38</v>
      </c>
      <c r="E166" s="22">
        <v>0</v>
      </c>
      <c r="F166" s="22">
        <v>1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3">
        <v>44881.593055555597</v>
      </c>
      <c r="O166" s="23">
        <v>44890</v>
      </c>
      <c r="P166" s="24">
        <f t="shared" si="2"/>
        <v>9.4069444444030506</v>
      </c>
      <c r="Q166" s="20" t="s">
        <v>31</v>
      </c>
      <c r="R166" s="20" t="s">
        <v>31</v>
      </c>
      <c r="S166" s="22" t="s">
        <v>32</v>
      </c>
      <c r="T166" s="20">
        <v>10391.74</v>
      </c>
      <c r="U166" s="22" t="s">
        <v>36</v>
      </c>
      <c r="V166" s="25">
        <v>44886.501539351899</v>
      </c>
      <c r="W166" s="20" t="s">
        <v>34</v>
      </c>
      <c r="X166" s="20"/>
      <c r="Y166" s="26">
        <v>46.2955555536901</v>
      </c>
      <c r="Z166" s="22" t="s">
        <v>35</v>
      </c>
      <c r="AA166" s="27" t="s">
        <v>34</v>
      </c>
      <c r="AB166" s="27" t="s">
        <v>31</v>
      </c>
      <c r="AC166" s="28" t="s">
        <v>31</v>
      </c>
      <c r="AD166" s="28" t="s">
        <v>31</v>
      </c>
    </row>
    <row r="167" spans="1:30" ht="14.55" customHeight="1" x14ac:dyDescent="0.4">
      <c r="A167" s="20">
        <v>1</v>
      </c>
      <c r="B167" s="20">
        <v>169</v>
      </c>
      <c r="C167" s="29">
        <v>65</v>
      </c>
      <c r="D167" s="22" t="s">
        <v>30</v>
      </c>
      <c r="E167" s="22">
        <v>0</v>
      </c>
      <c r="F167" s="22">
        <v>1</v>
      </c>
      <c r="G167" s="22">
        <v>0</v>
      </c>
      <c r="H167" s="22">
        <v>0</v>
      </c>
      <c r="I167" s="22">
        <v>0</v>
      </c>
      <c r="J167" s="22">
        <v>1</v>
      </c>
      <c r="K167" s="22">
        <v>0</v>
      </c>
      <c r="L167" s="22">
        <v>1</v>
      </c>
      <c r="M167" s="22">
        <v>0</v>
      </c>
      <c r="N167" s="23">
        <v>44854.595138888901</v>
      </c>
      <c r="O167" s="23">
        <v>44859</v>
      </c>
      <c r="P167" s="24">
        <f t="shared" si="2"/>
        <v>5.4048611110993097</v>
      </c>
      <c r="Q167" s="20" t="s">
        <v>31</v>
      </c>
      <c r="R167" s="20" t="s">
        <v>31</v>
      </c>
      <c r="S167" s="20" t="s">
        <v>32</v>
      </c>
      <c r="T167" s="20">
        <v>8717.7199999999993</v>
      </c>
      <c r="U167" s="20" t="s">
        <v>39</v>
      </c>
      <c r="V167" s="25">
        <v>44858.701261574097</v>
      </c>
      <c r="W167" s="20" t="s">
        <v>34</v>
      </c>
      <c r="X167" s="20"/>
      <c r="Y167" s="26">
        <v>41.581388887250803</v>
      </c>
      <c r="Z167" s="22" t="s">
        <v>35</v>
      </c>
      <c r="AA167" s="27" t="s">
        <v>34</v>
      </c>
      <c r="AB167" s="27" t="s">
        <v>31</v>
      </c>
      <c r="AC167" s="28" t="s">
        <v>31</v>
      </c>
      <c r="AD167" s="28" t="s">
        <v>31</v>
      </c>
    </row>
    <row r="168" spans="1:30" ht="14.55" customHeight="1" x14ac:dyDescent="0.4">
      <c r="A168" s="20">
        <v>1</v>
      </c>
      <c r="B168" s="20">
        <v>170</v>
      </c>
      <c r="C168" s="29">
        <v>61</v>
      </c>
      <c r="D168" s="22" t="s">
        <v>38</v>
      </c>
      <c r="E168" s="22">
        <v>0</v>
      </c>
      <c r="F168" s="22">
        <v>1</v>
      </c>
      <c r="G168" s="22">
        <v>0</v>
      </c>
      <c r="H168" s="22">
        <v>1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3">
        <v>44693.590277777803</v>
      </c>
      <c r="O168" s="23">
        <v>44704</v>
      </c>
      <c r="P168" s="24">
        <f t="shared" si="2"/>
        <v>11.4097222221972</v>
      </c>
      <c r="Q168" s="20" t="s">
        <v>31</v>
      </c>
      <c r="R168" s="20" t="s">
        <v>31</v>
      </c>
      <c r="S168" s="20" t="s">
        <v>32</v>
      </c>
      <c r="T168" s="20">
        <v>12757.45</v>
      </c>
      <c r="U168" s="20" t="s">
        <v>36</v>
      </c>
      <c r="V168" s="25">
        <v>44698.518333333297</v>
      </c>
      <c r="W168" s="20" t="s">
        <v>34</v>
      </c>
      <c r="X168" s="20"/>
      <c r="Y168" s="26">
        <v>44.572777778492302</v>
      </c>
      <c r="Z168" s="22" t="s">
        <v>35</v>
      </c>
      <c r="AA168" s="27" t="s">
        <v>34</v>
      </c>
      <c r="AB168" s="27" t="s">
        <v>31</v>
      </c>
      <c r="AC168" s="28" t="s">
        <v>31</v>
      </c>
      <c r="AD168" s="28" t="s">
        <v>31</v>
      </c>
    </row>
    <row r="169" spans="1:30" ht="14.55" customHeight="1" x14ac:dyDescent="0.4">
      <c r="A169" s="20">
        <v>1</v>
      </c>
      <c r="B169" s="20">
        <v>171</v>
      </c>
      <c r="C169" s="29">
        <v>68</v>
      </c>
      <c r="D169" s="22" t="s">
        <v>30</v>
      </c>
      <c r="E169" s="22">
        <v>0</v>
      </c>
      <c r="F169" s="22">
        <v>1</v>
      </c>
      <c r="G169" s="22">
        <v>0</v>
      </c>
      <c r="H169" s="22">
        <v>1</v>
      </c>
      <c r="I169" s="22">
        <v>0</v>
      </c>
      <c r="J169" s="22">
        <v>0</v>
      </c>
      <c r="K169" s="22">
        <v>1</v>
      </c>
      <c r="L169" s="22">
        <v>0</v>
      </c>
      <c r="M169" s="22">
        <v>0</v>
      </c>
      <c r="N169" s="23">
        <v>44979.643750000003</v>
      </c>
      <c r="O169" s="23">
        <v>44989</v>
      </c>
      <c r="P169" s="24">
        <f t="shared" si="2"/>
        <v>10.3562499999971</v>
      </c>
      <c r="Q169" s="20" t="s">
        <v>31</v>
      </c>
      <c r="R169" s="20" t="s">
        <v>31</v>
      </c>
      <c r="S169" s="20" t="s">
        <v>32</v>
      </c>
      <c r="T169" s="20">
        <v>14480.35</v>
      </c>
      <c r="U169" s="20" t="s">
        <v>40</v>
      </c>
      <c r="V169" s="25">
        <v>44984.450972222199</v>
      </c>
      <c r="W169" s="20" t="s">
        <v>34</v>
      </c>
      <c r="X169" s="20"/>
      <c r="Y169" s="26">
        <v>47.561388890433598</v>
      </c>
      <c r="Z169" s="22" t="s">
        <v>35</v>
      </c>
      <c r="AA169" s="27" t="s">
        <v>34</v>
      </c>
      <c r="AB169" s="27" t="s">
        <v>31</v>
      </c>
      <c r="AC169" s="28" t="s">
        <v>31</v>
      </c>
      <c r="AD169" s="28" t="s">
        <v>31</v>
      </c>
    </row>
    <row r="170" spans="1:30" ht="14.55" customHeight="1" x14ac:dyDescent="0.4">
      <c r="A170" s="20">
        <v>1</v>
      </c>
      <c r="B170" s="20">
        <v>172</v>
      </c>
      <c r="C170" s="29">
        <v>61</v>
      </c>
      <c r="D170" s="22" t="s">
        <v>38</v>
      </c>
      <c r="E170" s="22">
        <v>0</v>
      </c>
      <c r="F170" s="22">
        <v>1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3">
        <v>44894.605555555601</v>
      </c>
      <c r="O170" s="23">
        <v>44900</v>
      </c>
      <c r="P170" s="24">
        <f t="shared" si="2"/>
        <v>6.3944444443986903</v>
      </c>
      <c r="Q170" s="20" t="s">
        <v>31</v>
      </c>
      <c r="R170" s="20" t="s">
        <v>31</v>
      </c>
      <c r="S170" s="20" t="s">
        <v>32</v>
      </c>
      <c r="T170" s="20">
        <v>7353.97</v>
      </c>
      <c r="U170" s="20" t="s">
        <v>36</v>
      </c>
      <c r="V170" s="25">
        <v>44896.489224536999</v>
      </c>
      <c r="W170" s="20" t="s">
        <v>34</v>
      </c>
      <c r="X170" s="20"/>
      <c r="Y170" s="26">
        <v>49.225277779216398</v>
      </c>
      <c r="Z170" s="22" t="s">
        <v>35</v>
      </c>
      <c r="AA170" s="27" t="s">
        <v>34</v>
      </c>
      <c r="AB170" s="27" t="s">
        <v>31</v>
      </c>
      <c r="AC170" s="28" t="s">
        <v>31</v>
      </c>
      <c r="AD170" s="28" t="s">
        <v>31</v>
      </c>
    </row>
    <row r="171" spans="1:30" ht="14.55" customHeight="1" x14ac:dyDescent="0.4">
      <c r="A171" s="20">
        <v>1</v>
      </c>
      <c r="B171" s="20">
        <v>173</v>
      </c>
      <c r="C171" s="29">
        <v>55</v>
      </c>
      <c r="D171" s="22" t="s">
        <v>30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3">
        <v>44697.620833333298</v>
      </c>
      <c r="O171" s="23">
        <v>44704</v>
      </c>
      <c r="P171" s="24">
        <f t="shared" si="2"/>
        <v>7.3791666667020799</v>
      </c>
      <c r="Q171" s="20" t="s">
        <v>31</v>
      </c>
      <c r="R171" s="20" t="s">
        <v>31</v>
      </c>
      <c r="S171" s="20" t="s">
        <v>32</v>
      </c>
      <c r="T171" s="20">
        <v>9107.0400000000009</v>
      </c>
      <c r="U171" s="20" t="s">
        <v>39</v>
      </c>
      <c r="V171" s="25">
        <v>44700.646469907399</v>
      </c>
      <c r="W171" s="20" t="s">
        <v>46</v>
      </c>
      <c r="X171" s="20"/>
      <c r="Y171" s="26">
        <v>65.299722223193399</v>
      </c>
      <c r="Z171" s="22" t="s">
        <v>35</v>
      </c>
      <c r="AA171" s="27">
        <v>1</v>
      </c>
      <c r="AB171" s="27" t="s">
        <v>31</v>
      </c>
      <c r="AC171" s="28">
        <v>2</v>
      </c>
      <c r="AD171" s="28" t="s">
        <v>31</v>
      </c>
    </row>
    <row r="172" spans="1:30" ht="14.55" customHeight="1" x14ac:dyDescent="0.4">
      <c r="A172" s="20">
        <v>1</v>
      </c>
      <c r="B172" s="20">
        <v>174</v>
      </c>
      <c r="C172" s="29">
        <v>60</v>
      </c>
      <c r="D172" s="22" t="s">
        <v>38</v>
      </c>
      <c r="E172" s="22">
        <v>0</v>
      </c>
      <c r="F172" s="22">
        <v>1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3">
        <v>44880.435416666704</v>
      </c>
      <c r="O172" s="23">
        <v>44889</v>
      </c>
      <c r="P172" s="24">
        <f t="shared" si="2"/>
        <v>9.5645833332964703</v>
      </c>
      <c r="Q172" s="20" t="s">
        <v>31</v>
      </c>
      <c r="R172" s="20" t="s">
        <v>31</v>
      </c>
      <c r="S172" s="20" t="s">
        <v>32</v>
      </c>
      <c r="T172" s="20">
        <v>13098.52</v>
      </c>
      <c r="U172" s="20" t="s">
        <v>36</v>
      </c>
      <c r="V172" s="25">
        <v>44887.527141203696</v>
      </c>
      <c r="W172" s="20" t="s">
        <v>53</v>
      </c>
      <c r="X172" s="20"/>
      <c r="Y172" s="26">
        <v>68.394722222525203</v>
      </c>
      <c r="Z172" s="22" t="s">
        <v>35</v>
      </c>
      <c r="AA172" s="27">
        <v>1</v>
      </c>
      <c r="AB172" s="27" t="s">
        <v>31</v>
      </c>
      <c r="AC172" s="28">
        <v>1</v>
      </c>
      <c r="AD172" s="28" t="s">
        <v>31</v>
      </c>
    </row>
    <row r="173" spans="1:30" ht="14.55" customHeight="1" x14ac:dyDescent="0.4">
      <c r="A173" s="20">
        <v>1</v>
      </c>
      <c r="B173" s="20">
        <v>175</v>
      </c>
      <c r="C173" s="29">
        <v>57</v>
      </c>
      <c r="D173" s="22" t="s">
        <v>38</v>
      </c>
      <c r="E173" s="22">
        <v>0</v>
      </c>
      <c r="F173" s="22">
        <v>1</v>
      </c>
      <c r="G173" s="22">
        <v>0</v>
      </c>
      <c r="H173" s="22">
        <v>1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3">
        <v>44956.613194444399</v>
      </c>
      <c r="O173" s="23">
        <v>44986</v>
      </c>
      <c r="P173" s="24">
        <f t="shared" si="2"/>
        <v>30.386805555601299</v>
      </c>
      <c r="Q173" s="20" t="s">
        <v>31</v>
      </c>
      <c r="R173" s="20" t="s">
        <v>31</v>
      </c>
      <c r="S173" s="20" t="s">
        <v>32</v>
      </c>
      <c r="T173" s="20">
        <v>148778.91</v>
      </c>
      <c r="U173" s="20" t="s">
        <v>36</v>
      </c>
      <c r="V173" s="25">
        <v>44978.440115740697</v>
      </c>
      <c r="W173" s="20" t="s">
        <v>34</v>
      </c>
      <c r="X173" s="20"/>
      <c r="Y173" s="26">
        <v>48.7127777785063</v>
      </c>
      <c r="Z173" s="22" t="s">
        <v>35</v>
      </c>
      <c r="AA173" s="27" t="s">
        <v>34</v>
      </c>
      <c r="AB173" s="27" t="s">
        <v>31</v>
      </c>
      <c r="AC173" s="28" t="s">
        <v>31</v>
      </c>
      <c r="AD173" s="28" t="s">
        <v>31</v>
      </c>
    </row>
    <row r="174" spans="1:30" ht="14.55" customHeight="1" x14ac:dyDescent="0.4">
      <c r="A174" s="20">
        <v>1</v>
      </c>
      <c r="B174" s="20">
        <v>176</v>
      </c>
      <c r="C174" s="29">
        <v>65</v>
      </c>
      <c r="D174" s="22" t="s">
        <v>30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1</v>
      </c>
      <c r="M174" s="22">
        <v>0</v>
      </c>
      <c r="N174" s="23">
        <v>44762.613888888904</v>
      </c>
      <c r="O174" s="23">
        <v>44770</v>
      </c>
      <c r="P174" s="24">
        <f t="shared" si="2"/>
        <v>8.3861111110963993</v>
      </c>
      <c r="Q174" s="20" t="s">
        <v>31</v>
      </c>
      <c r="R174" s="20" t="s">
        <v>31</v>
      </c>
      <c r="S174" s="20" t="s">
        <v>32</v>
      </c>
      <c r="T174" s="20">
        <v>7368.44</v>
      </c>
      <c r="U174" s="20" t="s">
        <v>36</v>
      </c>
      <c r="V174" s="25">
        <v>44768.488194444399</v>
      </c>
      <c r="W174" s="20" t="s">
        <v>34</v>
      </c>
      <c r="X174" s="20"/>
      <c r="Y174" s="26">
        <v>45.335000001650798</v>
      </c>
      <c r="Z174" s="22" t="s">
        <v>35</v>
      </c>
      <c r="AA174" s="27" t="s">
        <v>34</v>
      </c>
      <c r="AB174" s="27" t="s">
        <v>31</v>
      </c>
      <c r="AC174" s="28" t="s">
        <v>31</v>
      </c>
      <c r="AD174" s="28" t="s">
        <v>31</v>
      </c>
    </row>
    <row r="175" spans="1:30" ht="14.55" customHeight="1" x14ac:dyDescent="0.4">
      <c r="A175" s="20">
        <v>1</v>
      </c>
      <c r="B175" s="20">
        <v>177</v>
      </c>
      <c r="C175" s="29">
        <v>60</v>
      </c>
      <c r="D175" s="22" t="s">
        <v>38</v>
      </c>
      <c r="E175" s="22">
        <v>0</v>
      </c>
      <c r="F175" s="22">
        <v>1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3">
        <v>44731.618055555598</v>
      </c>
      <c r="O175" s="23">
        <v>44736</v>
      </c>
      <c r="P175" s="24">
        <f t="shared" si="2"/>
        <v>5.3819444444015998</v>
      </c>
      <c r="Q175" s="20" t="s">
        <v>31</v>
      </c>
      <c r="R175" s="20" t="s">
        <v>31</v>
      </c>
      <c r="S175" s="20" t="s">
        <v>32</v>
      </c>
      <c r="T175" s="20">
        <v>6629.69</v>
      </c>
      <c r="U175" s="20" t="s">
        <v>36</v>
      </c>
      <c r="V175" s="25">
        <v>44734.487754629597</v>
      </c>
      <c r="W175" s="20" t="s">
        <v>34</v>
      </c>
      <c r="X175" s="20"/>
      <c r="Y175" s="26">
        <v>45.3944444447989</v>
      </c>
      <c r="Z175" s="22" t="s">
        <v>35</v>
      </c>
      <c r="AA175" s="27" t="s">
        <v>34</v>
      </c>
      <c r="AB175" s="27" t="s">
        <v>31</v>
      </c>
      <c r="AC175" s="28" t="s">
        <v>31</v>
      </c>
      <c r="AD175" s="28" t="s">
        <v>31</v>
      </c>
    </row>
    <row r="176" spans="1:30" ht="14.55" customHeight="1" x14ac:dyDescent="0.4">
      <c r="A176" s="20">
        <v>1</v>
      </c>
      <c r="B176" s="20">
        <v>178</v>
      </c>
      <c r="C176" s="29">
        <v>59</v>
      </c>
      <c r="D176" s="22" t="s">
        <v>30</v>
      </c>
      <c r="E176" s="22">
        <v>1</v>
      </c>
      <c r="F176" s="22">
        <v>1</v>
      </c>
      <c r="G176" s="22">
        <v>0</v>
      </c>
      <c r="H176" s="22">
        <v>1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3">
        <v>44985.963194444397</v>
      </c>
      <c r="O176" s="23">
        <v>44991</v>
      </c>
      <c r="P176" s="24">
        <f t="shared" si="2"/>
        <v>6.0368055556027702</v>
      </c>
      <c r="Q176" s="20" t="s">
        <v>31</v>
      </c>
      <c r="R176" s="20" t="s">
        <v>31</v>
      </c>
      <c r="S176" s="20" t="s">
        <v>32</v>
      </c>
      <c r="T176" s="20">
        <v>57458.239999999998</v>
      </c>
      <c r="U176" s="20" t="s">
        <v>36</v>
      </c>
      <c r="V176" s="25">
        <v>44989.5171990741</v>
      </c>
      <c r="W176" s="20" t="s">
        <v>44</v>
      </c>
      <c r="X176" s="20"/>
      <c r="Y176" s="26">
        <v>68.945277777558701</v>
      </c>
      <c r="Z176" s="22" t="s">
        <v>35</v>
      </c>
      <c r="AA176" s="27">
        <v>1</v>
      </c>
      <c r="AB176" s="27" t="s">
        <v>31</v>
      </c>
      <c r="AC176" s="28">
        <v>1</v>
      </c>
      <c r="AD176" s="28" t="s">
        <v>31</v>
      </c>
    </row>
    <row r="177" spans="1:30" ht="14.55" customHeight="1" x14ac:dyDescent="0.4">
      <c r="A177" s="20">
        <v>1</v>
      </c>
      <c r="B177" s="20">
        <v>179</v>
      </c>
      <c r="C177" s="29">
        <v>66</v>
      </c>
      <c r="D177" s="22" t="s">
        <v>30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3">
        <v>44739.622916666704</v>
      </c>
      <c r="O177" s="23">
        <v>44743</v>
      </c>
      <c r="P177" s="24">
        <f t="shared" si="2"/>
        <v>4.3770833332964703</v>
      </c>
      <c r="Q177" s="20" t="s">
        <v>31</v>
      </c>
      <c r="R177" s="20" t="s">
        <v>31</v>
      </c>
      <c r="S177" s="20" t="s">
        <v>32</v>
      </c>
      <c r="T177" s="20">
        <v>9370.8799999999992</v>
      </c>
      <c r="U177" s="20" t="s">
        <v>36</v>
      </c>
      <c r="V177" s="25">
        <v>44742.504479166702</v>
      </c>
      <c r="W177" s="20" t="s">
        <v>44</v>
      </c>
      <c r="X177" s="20"/>
      <c r="Y177" s="26">
        <v>46.805833332007801</v>
      </c>
      <c r="Z177" s="22" t="s">
        <v>35</v>
      </c>
      <c r="AA177" s="27">
        <v>1</v>
      </c>
      <c r="AB177" s="27" t="s">
        <v>31</v>
      </c>
      <c r="AC177" s="28">
        <v>1</v>
      </c>
      <c r="AD177" s="28" t="s">
        <v>31</v>
      </c>
    </row>
    <row r="178" spans="1:30" ht="14.55" customHeight="1" x14ac:dyDescent="0.4">
      <c r="A178" s="20">
        <v>1</v>
      </c>
      <c r="B178" s="20">
        <v>180</v>
      </c>
      <c r="C178" s="29">
        <v>57</v>
      </c>
      <c r="D178" s="22" t="s">
        <v>30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1</v>
      </c>
      <c r="L178" s="22">
        <v>0</v>
      </c>
      <c r="M178" s="22">
        <v>0</v>
      </c>
      <c r="N178" s="23">
        <v>44880.605555555601</v>
      </c>
      <c r="O178" s="23">
        <v>44899</v>
      </c>
      <c r="P178" s="24">
        <f t="shared" si="2"/>
        <v>19.394444444398701</v>
      </c>
      <c r="Q178" s="20" t="s">
        <v>31</v>
      </c>
      <c r="R178" s="20" t="s">
        <v>31</v>
      </c>
      <c r="S178" s="20" t="s">
        <v>32</v>
      </c>
      <c r="T178" s="20">
        <v>294210.52</v>
      </c>
      <c r="U178" s="20" t="s">
        <v>33</v>
      </c>
      <c r="V178" s="25">
        <v>44881.491956018501</v>
      </c>
      <c r="W178" s="20" t="s">
        <v>44</v>
      </c>
      <c r="X178" s="20"/>
      <c r="Y178" s="26">
        <v>68.377777778310701</v>
      </c>
      <c r="Z178" s="22" t="s">
        <v>35</v>
      </c>
      <c r="AA178" s="27">
        <v>1</v>
      </c>
      <c r="AB178" s="27" t="s">
        <v>31</v>
      </c>
      <c r="AC178" s="28">
        <v>1</v>
      </c>
      <c r="AD178" s="28" t="s">
        <v>31</v>
      </c>
    </row>
    <row r="179" spans="1:30" ht="14.55" customHeight="1" x14ac:dyDescent="0.4">
      <c r="A179" s="20">
        <v>1</v>
      </c>
      <c r="B179" s="20">
        <v>181</v>
      </c>
      <c r="C179" s="29">
        <v>64</v>
      </c>
      <c r="D179" s="22" t="s">
        <v>30</v>
      </c>
      <c r="E179" s="22">
        <v>0</v>
      </c>
      <c r="F179" s="22">
        <v>0</v>
      </c>
      <c r="G179" s="22">
        <v>0</v>
      </c>
      <c r="H179" s="22">
        <v>1</v>
      </c>
      <c r="I179" s="22">
        <v>1</v>
      </c>
      <c r="J179" s="22">
        <v>0</v>
      </c>
      <c r="K179" s="22">
        <v>0</v>
      </c>
      <c r="L179" s="22">
        <v>0</v>
      </c>
      <c r="M179" s="22">
        <v>0</v>
      </c>
      <c r="N179" s="23">
        <v>44709.609027777798</v>
      </c>
      <c r="O179" s="23">
        <v>44715</v>
      </c>
      <c r="P179" s="24">
        <f t="shared" si="2"/>
        <v>6.3909722222015297</v>
      </c>
      <c r="Q179" s="20" t="s">
        <v>31</v>
      </c>
      <c r="R179" s="20" t="s">
        <v>31</v>
      </c>
      <c r="S179" s="20" t="s">
        <v>32</v>
      </c>
      <c r="T179" s="20">
        <v>8868.24</v>
      </c>
      <c r="U179" s="20" t="s">
        <v>36</v>
      </c>
      <c r="V179" s="25">
        <v>44712.627002314803</v>
      </c>
      <c r="W179" s="20" t="s">
        <v>34</v>
      </c>
      <c r="X179" s="20"/>
      <c r="Y179" s="26">
        <v>42.224444445571898</v>
      </c>
      <c r="Z179" s="22" t="s">
        <v>35</v>
      </c>
      <c r="AA179" s="27" t="s">
        <v>34</v>
      </c>
      <c r="AB179" s="27" t="s">
        <v>31</v>
      </c>
      <c r="AC179" s="28" t="s">
        <v>31</v>
      </c>
      <c r="AD179" s="28" t="s">
        <v>31</v>
      </c>
    </row>
    <row r="180" spans="1:30" ht="14.55" customHeight="1" x14ac:dyDescent="0.4">
      <c r="A180" s="20">
        <v>1</v>
      </c>
      <c r="B180" s="20">
        <v>182</v>
      </c>
      <c r="C180" s="29">
        <v>59</v>
      </c>
      <c r="D180" s="22" t="s">
        <v>38</v>
      </c>
      <c r="E180" s="22">
        <v>1</v>
      </c>
      <c r="F180" s="22">
        <v>0</v>
      </c>
      <c r="G180" s="22">
        <v>0</v>
      </c>
      <c r="H180" s="22">
        <v>0</v>
      </c>
      <c r="I180" s="22">
        <v>1</v>
      </c>
      <c r="J180" s="22">
        <v>0</v>
      </c>
      <c r="K180" s="22">
        <v>0</v>
      </c>
      <c r="L180" s="22">
        <v>0</v>
      </c>
      <c r="M180" s="22">
        <v>1</v>
      </c>
      <c r="N180" s="23">
        <v>44782.5805555556</v>
      </c>
      <c r="O180" s="23">
        <v>44799</v>
      </c>
      <c r="P180" s="24">
        <f t="shared" si="2"/>
        <v>17.419444444400099</v>
      </c>
      <c r="Q180" s="20" t="s">
        <v>31</v>
      </c>
      <c r="R180" s="20" t="s">
        <v>31</v>
      </c>
      <c r="S180" s="20" t="s">
        <v>32</v>
      </c>
      <c r="T180" s="20">
        <v>23447.69</v>
      </c>
      <c r="U180" s="20" t="s">
        <v>33</v>
      </c>
      <c r="V180" s="25">
        <v>44790.675451388903</v>
      </c>
      <c r="W180" s="20" t="s">
        <v>34</v>
      </c>
      <c r="X180" s="20"/>
      <c r="Y180" s="26">
        <v>41.500833333469899</v>
      </c>
      <c r="Z180" s="22" t="s">
        <v>35</v>
      </c>
      <c r="AA180" s="27" t="s">
        <v>34</v>
      </c>
      <c r="AB180" s="27" t="s">
        <v>31</v>
      </c>
      <c r="AC180" s="28" t="s">
        <v>31</v>
      </c>
      <c r="AD180" s="28" t="s">
        <v>31</v>
      </c>
    </row>
    <row r="181" spans="1:30" ht="14.55" customHeight="1" x14ac:dyDescent="0.4">
      <c r="A181" s="20">
        <v>1</v>
      </c>
      <c r="B181" s="20">
        <v>183</v>
      </c>
      <c r="C181" s="29">
        <v>57</v>
      </c>
      <c r="D181" s="22" t="s">
        <v>30</v>
      </c>
      <c r="E181" s="22">
        <v>0</v>
      </c>
      <c r="F181" s="22">
        <v>1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1</v>
      </c>
      <c r="M181" s="22">
        <v>0</v>
      </c>
      <c r="N181" s="23">
        <v>44845.6159722222</v>
      </c>
      <c r="O181" s="23">
        <v>44855</v>
      </c>
      <c r="P181" s="24">
        <f t="shared" si="2"/>
        <v>10.384027777799901</v>
      </c>
      <c r="Q181" s="20" t="s">
        <v>31</v>
      </c>
      <c r="R181" s="20" t="s">
        <v>31</v>
      </c>
      <c r="S181" s="20" t="s">
        <v>32</v>
      </c>
      <c r="T181" s="20">
        <v>12158.71</v>
      </c>
      <c r="U181" s="20" t="s">
        <v>36</v>
      </c>
      <c r="V181" s="25">
        <v>44851.513402777797</v>
      </c>
      <c r="W181" s="20" t="s">
        <v>34</v>
      </c>
      <c r="X181" s="20"/>
      <c r="Y181" s="26">
        <v>46.4094444433576</v>
      </c>
      <c r="Z181" s="22" t="s">
        <v>35</v>
      </c>
      <c r="AA181" s="27" t="s">
        <v>34</v>
      </c>
      <c r="AB181" s="27" t="s">
        <v>31</v>
      </c>
      <c r="AC181" s="28" t="s">
        <v>31</v>
      </c>
      <c r="AD181" s="28" t="s">
        <v>31</v>
      </c>
    </row>
    <row r="182" spans="1:30" ht="14.55" customHeight="1" x14ac:dyDescent="0.4">
      <c r="A182" s="20">
        <v>1</v>
      </c>
      <c r="B182" s="20">
        <v>184</v>
      </c>
      <c r="C182" s="29">
        <v>67</v>
      </c>
      <c r="D182" s="22" t="s">
        <v>30</v>
      </c>
      <c r="E182" s="22">
        <v>0</v>
      </c>
      <c r="F182" s="22">
        <v>0</v>
      </c>
      <c r="G182" s="22">
        <v>0</v>
      </c>
      <c r="H182" s="22">
        <v>1</v>
      </c>
      <c r="I182" s="22">
        <v>1</v>
      </c>
      <c r="J182" s="22">
        <v>0</v>
      </c>
      <c r="K182" s="22">
        <v>0</v>
      </c>
      <c r="L182" s="22">
        <v>0</v>
      </c>
      <c r="M182" s="22">
        <v>1</v>
      </c>
      <c r="N182" s="23">
        <v>44812.637499999997</v>
      </c>
      <c r="O182" s="23">
        <v>44828</v>
      </c>
      <c r="P182" s="24">
        <f t="shared" si="2"/>
        <v>16.3625000000029</v>
      </c>
      <c r="Q182" s="20" t="s">
        <v>31</v>
      </c>
      <c r="R182" s="20" t="s">
        <v>31</v>
      </c>
      <c r="S182" s="20" t="s">
        <v>32</v>
      </c>
      <c r="T182" s="20">
        <v>10945.14</v>
      </c>
      <c r="U182" s="20" t="s">
        <v>36</v>
      </c>
      <c r="V182" s="25">
        <v>44827.616145833301</v>
      </c>
      <c r="W182" s="20" t="s">
        <v>34</v>
      </c>
      <c r="X182" s="20"/>
      <c r="Y182" s="26">
        <v>47.785833333560703</v>
      </c>
      <c r="Z182" s="22" t="s">
        <v>35</v>
      </c>
      <c r="AA182" s="27" t="s">
        <v>34</v>
      </c>
      <c r="AB182" s="27" t="s">
        <v>31</v>
      </c>
      <c r="AC182" s="28" t="s">
        <v>31</v>
      </c>
      <c r="AD182" s="28" t="s">
        <v>31</v>
      </c>
    </row>
    <row r="183" spans="1:30" ht="14.55" customHeight="1" x14ac:dyDescent="0.4">
      <c r="A183" s="20">
        <v>1</v>
      </c>
      <c r="B183" s="20">
        <v>185</v>
      </c>
      <c r="C183" s="21">
        <v>55</v>
      </c>
      <c r="D183" s="22" t="s">
        <v>38</v>
      </c>
      <c r="E183" s="22">
        <v>1</v>
      </c>
      <c r="F183" s="22">
        <v>1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3">
        <v>44480.709027777797</v>
      </c>
      <c r="O183" s="23">
        <v>44493</v>
      </c>
      <c r="P183" s="24">
        <f t="shared" si="2"/>
        <v>13.290972222202999</v>
      </c>
      <c r="Q183" s="20" t="s">
        <v>31</v>
      </c>
      <c r="R183" s="20" t="s">
        <v>31</v>
      </c>
      <c r="S183" s="20" t="s">
        <v>32</v>
      </c>
      <c r="T183" s="26">
        <v>17106.5</v>
      </c>
      <c r="U183" s="22" t="s">
        <v>40</v>
      </c>
      <c r="V183" s="25">
        <v>44489.699062500003</v>
      </c>
      <c r="W183" s="20" t="s">
        <v>34</v>
      </c>
      <c r="X183" s="20"/>
      <c r="Y183" s="26">
        <v>42.950833334354698</v>
      </c>
      <c r="Z183" s="22" t="s">
        <v>35</v>
      </c>
      <c r="AA183" s="27" t="s">
        <v>34</v>
      </c>
      <c r="AB183" s="27" t="s">
        <v>31</v>
      </c>
      <c r="AC183" s="28" t="s">
        <v>31</v>
      </c>
      <c r="AD183" s="28" t="s">
        <v>31</v>
      </c>
    </row>
    <row r="184" spans="1:30" ht="14.55" customHeight="1" x14ac:dyDescent="0.4">
      <c r="A184" s="20">
        <v>1</v>
      </c>
      <c r="B184" s="20">
        <v>186</v>
      </c>
      <c r="C184" s="21">
        <v>55</v>
      </c>
      <c r="D184" s="22" t="s">
        <v>38</v>
      </c>
      <c r="E184" s="22">
        <v>0</v>
      </c>
      <c r="F184" s="22">
        <v>1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3">
        <v>44375.620138888902</v>
      </c>
      <c r="O184" s="23">
        <v>44383</v>
      </c>
      <c r="P184" s="24">
        <f t="shared" si="2"/>
        <v>8.3798611110978491</v>
      </c>
      <c r="Q184" s="20" t="s">
        <v>31</v>
      </c>
      <c r="R184" s="20" t="s">
        <v>31</v>
      </c>
      <c r="S184" s="20" t="s">
        <v>32</v>
      </c>
      <c r="T184" s="20">
        <v>8099.01</v>
      </c>
      <c r="U184" s="20" t="s">
        <v>39</v>
      </c>
      <c r="V184" s="25">
        <v>44379.490810185198</v>
      </c>
      <c r="W184" s="20" t="s">
        <v>45</v>
      </c>
      <c r="X184" s="20"/>
      <c r="Y184" s="26">
        <v>124.339999999269</v>
      </c>
      <c r="Z184" s="22" t="s">
        <v>35</v>
      </c>
      <c r="AA184" s="27">
        <v>1</v>
      </c>
      <c r="AB184" s="27" t="s">
        <v>31</v>
      </c>
      <c r="AC184" s="28">
        <v>1</v>
      </c>
      <c r="AD184" s="28" t="s">
        <v>31</v>
      </c>
    </row>
    <row r="185" spans="1:30" ht="14.55" customHeight="1" x14ac:dyDescent="0.4">
      <c r="A185" s="20">
        <v>1</v>
      </c>
      <c r="B185" s="20">
        <v>187</v>
      </c>
      <c r="C185" s="21">
        <v>58</v>
      </c>
      <c r="D185" s="22" t="s">
        <v>38</v>
      </c>
      <c r="E185" s="22">
        <v>1</v>
      </c>
      <c r="F185" s="22">
        <v>1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3">
        <v>43990.596527777801</v>
      </c>
      <c r="O185" s="23">
        <v>44001</v>
      </c>
      <c r="P185" s="24">
        <f t="shared" si="2"/>
        <v>11.4034722221986</v>
      </c>
      <c r="Q185" s="20" t="s">
        <v>31</v>
      </c>
      <c r="R185" s="20" t="s">
        <v>31</v>
      </c>
      <c r="S185" s="20" t="s">
        <v>32</v>
      </c>
      <c r="T185" s="20">
        <v>13700.73</v>
      </c>
      <c r="U185" s="20" t="s">
        <v>39</v>
      </c>
      <c r="V185" s="25">
        <v>44000.468506944402</v>
      </c>
      <c r="W185" s="20" t="s">
        <v>60</v>
      </c>
      <c r="X185" s="20"/>
      <c r="Y185" s="26">
        <v>70.787500000675195</v>
      </c>
      <c r="Z185" s="22" t="s">
        <v>35</v>
      </c>
      <c r="AA185" s="27">
        <v>1</v>
      </c>
      <c r="AB185" s="27" t="s">
        <v>31</v>
      </c>
      <c r="AC185" s="28">
        <v>2</v>
      </c>
      <c r="AD185" s="28" t="s">
        <v>31</v>
      </c>
    </row>
    <row r="186" spans="1:30" ht="14.55" customHeight="1" x14ac:dyDescent="0.4">
      <c r="A186" s="20">
        <v>1</v>
      </c>
      <c r="B186" s="20">
        <v>188</v>
      </c>
      <c r="C186" s="21">
        <v>55</v>
      </c>
      <c r="D186" s="22" t="s">
        <v>38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3">
        <v>44894.598611111098</v>
      </c>
      <c r="O186" s="23">
        <v>44902</v>
      </c>
      <c r="P186" s="24">
        <f t="shared" si="2"/>
        <v>8.4013888889021509</v>
      </c>
      <c r="Q186" s="20" t="s">
        <v>31</v>
      </c>
      <c r="R186" s="20" t="s">
        <v>31</v>
      </c>
      <c r="S186" s="20" t="s">
        <v>32</v>
      </c>
      <c r="T186" s="20">
        <v>13108.86</v>
      </c>
      <c r="U186" s="20" t="s">
        <v>36</v>
      </c>
      <c r="V186" s="25">
        <v>44900.508541666699</v>
      </c>
      <c r="W186" s="20" t="s">
        <v>34</v>
      </c>
      <c r="X186" s="20"/>
      <c r="Y186" s="26">
        <v>46.769444443169</v>
      </c>
      <c r="Z186" s="22" t="s">
        <v>35</v>
      </c>
      <c r="AA186" s="27" t="s">
        <v>34</v>
      </c>
      <c r="AB186" s="27" t="s">
        <v>31</v>
      </c>
      <c r="AC186" s="28" t="s">
        <v>31</v>
      </c>
      <c r="AD186" s="28" t="s">
        <v>31</v>
      </c>
    </row>
    <row r="187" spans="1:30" ht="14.55" customHeight="1" x14ac:dyDescent="0.4">
      <c r="A187" s="20">
        <v>1</v>
      </c>
      <c r="B187" s="20">
        <v>189</v>
      </c>
      <c r="C187" s="21">
        <v>56</v>
      </c>
      <c r="D187" s="22" t="s">
        <v>38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3">
        <v>43965.390277777798</v>
      </c>
      <c r="O187" s="23">
        <v>43972</v>
      </c>
      <c r="P187" s="24">
        <f t="shared" si="2"/>
        <v>7.6097222222015297</v>
      </c>
      <c r="Q187" s="20" t="s">
        <v>31</v>
      </c>
      <c r="R187" s="20" t="s">
        <v>31</v>
      </c>
      <c r="S187" s="20" t="s">
        <v>32</v>
      </c>
      <c r="T187" s="20">
        <v>100170.88</v>
      </c>
      <c r="U187" s="20" t="s">
        <v>36</v>
      </c>
      <c r="V187" s="25">
        <v>43972.509594907402</v>
      </c>
      <c r="W187" s="20" t="s">
        <v>34</v>
      </c>
      <c r="X187" s="20"/>
      <c r="Y187" s="26">
        <v>45.498055555159198</v>
      </c>
      <c r="Z187" s="22" t="s">
        <v>35</v>
      </c>
      <c r="AA187" s="27" t="s">
        <v>34</v>
      </c>
      <c r="AB187" s="27" t="s">
        <v>31</v>
      </c>
      <c r="AC187" s="28" t="s">
        <v>31</v>
      </c>
      <c r="AD187" s="28" t="s">
        <v>31</v>
      </c>
    </row>
    <row r="188" spans="1:30" ht="14.55" customHeight="1" x14ac:dyDescent="0.4">
      <c r="A188" s="20">
        <v>1</v>
      </c>
      <c r="B188" s="20">
        <v>190</v>
      </c>
      <c r="C188" s="21">
        <v>59</v>
      </c>
      <c r="D188" s="22" t="s">
        <v>38</v>
      </c>
      <c r="E188" s="22">
        <v>0</v>
      </c>
      <c r="F188" s="22">
        <v>0</v>
      </c>
      <c r="G188" s="22">
        <v>0</v>
      </c>
      <c r="H188" s="22">
        <v>1</v>
      </c>
      <c r="I188" s="22">
        <v>1</v>
      </c>
      <c r="J188" s="22">
        <v>0</v>
      </c>
      <c r="K188" s="22">
        <v>1</v>
      </c>
      <c r="L188" s="22">
        <v>0</v>
      </c>
      <c r="M188" s="22">
        <v>0</v>
      </c>
      <c r="N188" s="23">
        <v>44712.986111111102</v>
      </c>
      <c r="O188" s="23">
        <v>44777</v>
      </c>
      <c r="P188" s="24">
        <f t="shared" si="2"/>
        <v>65.013888888897796</v>
      </c>
      <c r="Q188" s="20" t="s">
        <v>31</v>
      </c>
      <c r="R188" s="20" t="s">
        <v>31</v>
      </c>
      <c r="S188" s="20" t="s">
        <v>32</v>
      </c>
      <c r="T188" s="20">
        <v>395380.53</v>
      </c>
      <c r="U188" s="20" t="s">
        <v>36</v>
      </c>
      <c r="V188" s="25">
        <v>44749.541620370401</v>
      </c>
      <c r="W188" s="20" t="s">
        <v>53</v>
      </c>
      <c r="X188" s="20"/>
      <c r="Y188" s="26">
        <v>69.0574999991222</v>
      </c>
      <c r="Z188" s="22" t="s">
        <v>35</v>
      </c>
      <c r="AA188" s="27">
        <v>1</v>
      </c>
      <c r="AB188" s="27" t="s">
        <v>31</v>
      </c>
      <c r="AC188" s="28">
        <v>1</v>
      </c>
      <c r="AD188" s="28" t="s">
        <v>31</v>
      </c>
    </row>
    <row r="189" spans="1:30" ht="14.55" customHeight="1" x14ac:dyDescent="0.4">
      <c r="A189" s="20">
        <v>1</v>
      </c>
      <c r="B189" s="20">
        <v>191</v>
      </c>
      <c r="C189" s="21">
        <v>58</v>
      </c>
      <c r="D189" s="22" t="s">
        <v>38</v>
      </c>
      <c r="E189" s="22">
        <v>0</v>
      </c>
      <c r="F189" s="22">
        <v>1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3">
        <v>44967.627083333296</v>
      </c>
      <c r="O189" s="23">
        <v>44973</v>
      </c>
      <c r="P189" s="24">
        <f t="shared" si="2"/>
        <v>6.3729166667035297</v>
      </c>
      <c r="Q189" s="20" t="s">
        <v>31</v>
      </c>
      <c r="R189" s="20" t="s">
        <v>31</v>
      </c>
      <c r="S189" s="20" t="s">
        <v>32</v>
      </c>
      <c r="T189" s="26">
        <v>7350.5</v>
      </c>
      <c r="U189" s="20" t="s">
        <v>39</v>
      </c>
      <c r="V189" s="25">
        <v>44971.694618055597</v>
      </c>
      <c r="W189" s="20" t="s">
        <v>34</v>
      </c>
      <c r="X189" s="20"/>
      <c r="Y189" s="26">
        <v>41.480555553745901</v>
      </c>
      <c r="Z189" s="22" t="s">
        <v>35</v>
      </c>
      <c r="AA189" s="27" t="s">
        <v>34</v>
      </c>
      <c r="AB189" s="27" t="s">
        <v>31</v>
      </c>
      <c r="AC189" s="28" t="s">
        <v>31</v>
      </c>
      <c r="AD189" s="28" t="s">
        <v>31</v>
      </c>
    </row>
    <row r="190" spans="1:30" ht="14.55" customHeight="1" x14ac:dyDescent="0.4">
      <c r="A190" s="20">
        <v>1</v>
      </c>
      <c r="B190" s="20">
        <v>192</v>
      </c>
      <c r="C190" s="21">
        <v>55</v>
      </c>
      <c r="D190" s="22" t="s">
        <v>38</v>
      </c>
      <c r="E190" s="22">
        <v>0</v>
      </c>
      <c r="F190" s="22">
        <v>1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3">
        <v>44074.607638888898</v>
      </c>
      <c r="O190" s="23">
        <v>44090</v>
      </c>
      <c r="P190" s="24">
        <f t="shared" si="2"/>
        <v>16.392361111102201</v>
      </c>
      <c r="Q190" s="20" t="s">
        <v>31</v>
      </c>
      <c r="R190" s="20" t="s">
        <v>31</v>
      </c>
      <c r="S190" s="20" t="s">
        <v>32</v>
      </c>
      <c r="T190" s="20">
        <v>48296.02</v>
      </c>
      <c r="U190" s="20" t="s">
        <v>39</v>
      </c>
      <c r="V190" s="25">
        <v>44077.520034722198</v>
      </c>
      <c r="W190" s="20" t="s">
        <v>61</v>
      </c>
      <c r="X190" s="20"/>
      <c r="Y190" s="26">
        <v>70.952500000828906</v>
      </c>
      <c r="Z190" s="22" t="s">
        <v>35</v>
      </c>
      <c r="AA190" s="27">
        <v>1</v>
      </c>
      <c r="AB190" s="27" t="s">
        <v>31</v>
      </c>
      <c r="AC190" s="28">
        <v>3</v>
      </c>
      <c r="AD190" s="28" t="s">
        <v>31</v>
      </c>
    </row>
    <row r="191" spans="1:30" ht="14.55" customHeight="1" x14ac:dyDescent="0.4">
      <c r="A191" s="20">
        <v>1</v>
      </c>
      <c r="B191" s="20">
        <v>193</v>
      </c>
      <c r="C191" s="21">
        <v>58</v>
      </c>
      <c r="D191" s="22" t="s">
        <v>38</v>
      </c>
      <c r="E191" s="22">
        <v>1</v>
      </c>
      <c r="F191" s="22">
        <v>1</v>
      </c>
      <c r="G191" s="22">
        <v>0</v>
      </c>
      <c r="H191" s="22">
        <v>1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3">
        <v>44507.589583333298</v>
      </c>
      <c r="O191" s="23">
        <v>44513</v>
      </c>
      <c r="P191" s="24">
        <f t="shared" si="2"/>
        <v>6.4104166667020799</v>
      </c>
      <c r="Q191" s="20" t="s">
        <v>31</v>
      </c>
      <c r="R191" s="20" t="s">
        <v>31</v>
      </c>
      <c r="S191" s="20" t="s">
        <v>32</v>
      </c>
      <c r="T191" s="20">
        <v>10492.87</v>
      </c>
      <c r="U191" s="20" t="s">
        <v>36</v>
      </c>
      <c r="V191" s="25">
        <v>44509.443171296298</v>
      </c>
      <c r="W191" s="20" t="s">
        <v>62</v>
      </c>
      <c r="X191" s="20"/>
      <c r="Y191" s="26">
        <v>48.4416666672332</v>
      </c>
      <c r="Z191" s="22" t="s">
        <v>35</v>
      </c>
      <c r="AA191" s="27">
        <v>0</v>
      </c>
      <c r="AB191" s="27" t="s">
        <v>31</v>
      </c>
      <c r="AC191" s="28" t="s">
        <v>31</v>
      </c>
      <c r="AD191" s="28" t="s">
        <v>31</v>
      </c>
    </row>
    <row r="192" spans="1:30" ht="14.55" customHeight="1" x14ac:dyDescent="0.4">
      <c r="A192" s="20">
        <v>1</v>
      </c>
      <c r="B192" s="20">
        <v>194</v>
      </c>
      <c r="C192" s="21">
        <v>58</v>
      </c>
      <c r="D192" s="22" t="s">
        <v>38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1</v>
      </c>
      <c r="K192" s="22">
        <v>0</v>
      </c>
      <c r="L192" s="22">
        <v>0</v>
      </c>
      <c r="M192" s="22">
        <v>0</v>
      </c>
      <c r="N192" s="23">
        <v>44727.512499999997</v>
      </c>
      <c r="O192" s="23">
        <v>44784</v>
      </c>
      <c r="P192" s="24">
        <f t="shared" si="2"/>
        <v>57.487500000002903</v>
      </c>
      <c r="Q192" s="20" t="s">
        <v>31</v>
      </c>
      <c r="R192" s="20" t="s">
        <v>31</v>
      </c>
      <c r="S192" s="22" t="s">
        <v>32</v>
      </c>
      <c r="T192" s="20">
        <v>449388.09</v>
      </c>
      <c r="U192" s="20" t="s">
        <v>36</v>
      </c>
      <c r="V192" s="25">
        <v>44738.443101851903</v>
      </c>
      <c r="W192" s="20" t="s">
        <v>34</v>
      </c>
      <c r="X192" s="20"/>
      <c r="Y192" s="26">
        <v>47.175277775852003</v>
      </c>
      <c r="Z192" s="22" t="s">
        <v>35</v>
      </c>
      <c r="AA192" s="27" t="s">
        <v>34</v>
      </c>
      <c r="AB192" s="27" t="s">
        <v>31</v>
      </c>
      <c r="AC192" s="28" t="s">
        <v>31</v>
      </c>
      <c r="AD192" s="28" t="s">
        <v>31</v>
      </c>
    </row>
    <row r="193" spans="1:30" ht="14.55" customHeight="1" x14ac:dyDescent="0.4">
      <c r="A193" s="20">
        <v>1</v>
      </c>
      <c r="B193" s="20">
        <v>195</v>
      </c>
      <c r="C193" s="21">
        <v>59</v>
      </c>
      <c r="D193" s="22" t="s">
        <v>38</v>
      </c>
      <c r="E193" s="22">
        <v>0</v>
      </c>
      <c r="F193" s="22">
        <v>1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3">
        <v>44870.377083333296</v>
      </c>
      <c r="O193" s="23">
        <v>44874</v>
      </c>
      <c r="P193" s="24">
        <f t="shared" si="2"/>
        <v>4.6229166667035297</v>
      </c>
      <c r="Q193" s="20" t="s">
        <v>31</v>
      </c>
      <c r="R193" s="20" t="s">
        <v>31</v>
      </c>
      <c r="S193" s="22" t="s">
        <v>32</v>
      </c>
      <c r="T193" s="20">
        <v>7038.05</v>
      </c>
      <c r="U193" s="22" t="s">
        <v>36</v>
      </c>
      <c r="V193" s="25">
        <v>44873.691296296303</v>
      </c>
      <c r="W193" s="20" t="s">
        <v>34</v>
      </c>
      <c r="X193" s="20"/>
      <c r="Y193" s="26">
        <v>41.337222223053701</v>
      </c>
      <c r="Z193" s="22" t="s">
        <v>35</v>
      </c>
      <c r="AA193" s="27" t="s">
        <v>34</v>
      </c>
      <c r="AB193" s="27" t="s">
        <v>31</v>
      </c>
      <c r="AC193" s="28" t="s">
        <v>31</v>
      </c>
      <c r="AD193" s="28" t="s">
        <v>31</v>
      </c>
    </row>
    <row r="194" spans="1:30" ht="14.55" customHeight="1" x14ac:dyDescent="0.4">
      <c r="A194" s="20">
        <v>1</v>
      </c>
      <c r="B194" s="20">
        <v>196</v>
      </c>
      <c r="C194" s="21">
        <v>58</v>
      </c>
      <c r="D194" s="22" t="s">
        <v>38</v>
      </c>
      <c r="E194" s="22">
        <v>0</v>
      </c>
      <c r="F194" s="22">
        <v>1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3">
        <v>44484.604166666701</v>
      </c>
      <c r="O194" s="23">
        <v>44494</v>
      </c>
      <c r="P194" s="24">
        <f t="shared" si="2"/>
        <v>10.3958333332994</v>
      </c>
      <c r="Q194" s="20" t="s">
        <v>31</v>
      </c>
      <c r="R194" s="20" t="s">
        <v>31</v>
      </c>
      <c r="S194" s="20" t="s">
        <v>32</v>
      </c>
      <c r="T194" s="20">
        <v>16191.84</v>
      </c>
      <c r="U194" s="20" t="s">
        <v>36</v>
      </c>
      <c r="V194" s="25">
        <v>44488.503981481503</v>
      </c>
      <c r="W194" s="20" t="s">
        <v>45</v>
      </c>
      <c r="X194" s="20"/>
      <c r="Y194" s="26">
        <v>314.71944444469398</v>
      </c>
      <c r="Z194" s="22" t="s">
        <v>35</v>
      </c>
      <c r="AA194" s="27">
        <v>1</v>
      </c>
      <c r="AB194" s="27" t="s">
        <v>31</v>
      </c>
      <c r="AC194" s="28">
        <v>1</v>
      </c>
      <c r="AD194" s="28" t="s">
        <v>31</v>
      </c>
    </row>
    <row r="195" spans="1:30" ht="14.55" customHeight="1" x14ac:dyDescent="0.4">
      <c r="A195" s="20">
        <v>1</v>
      </c>
      <c r="B195" s="20">
        <v>197</v>
      </c>
      <c r="C195" s="21">
        <v>58</v>
      </c>
      <c r="D195" s="22" t="s">
        <v>38</v>
      </c>
      <c r="E195" s="22">
        <v>0</v>
      </c>
      <c r="F195" s="22">
        <v>1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3">
        <v>44875.636111111096</v>
      </c>
      <c r="O195" s="23">
        <v>44883</v>
      </c>
      <c r="P195" s="24">
        <f t="shared" ref="P195:P258" si="3">O195-N195+1</f>
        <v>8.3638888889036007</v>
      </c>
      <c r="Q195" s="20" t="s">
        <v>31</v>
      </c>
      <c r="R195" s="20" t="s">
        <v>31</v>
      </c>
      <c r="S195" s="22" t="s">
        <v>32</v>
      </c>
      <c r="T195" s="20">
        <v>10688.45</v>
      </c>
      <c r="U195" s="20" t="s">
        <v>40</v>
      </c>
      <c r="V195" s="25">
        <v>44880.630416666703</v>
      </c>
      <c r="W195" s="20" t="s">
        <v>34</v>
      </c>
      <c r="X195" s="20"/>
      <c r="Y195" s="26">
        <v>43.0852777775726</v>
      </c>
      <c r="Z195" s="22" t="s">
        <v>35</v>
      </c>
      <c r="AA195" s="27" t="s">
        <v>34</v>
      </c>
      <c r="AB195" s="27" t="s">
        <v>31</v>
      </c>
      <c r="AC195" s="28" t="s">
        <v>31</v>
      </c>
      <c r="AD195" s="28" t="s">
        <v>31</v>
      </c>
    </row>
    <row r="196" spans="1:30" ht="14.55" customHeight="1" x14ac:dyDescent="0.4">
      <c r="A196" s="20">
        <v>1</v>
      </c>
      <c r="B196" s="20">
        <v>198</v>
      </c>
      <c r="C196" s="21">
        <v>58</v>
      </c>
      <c r="D196" s="22" t="s">
        <v>38</v>
      </c>
      <c r="E196" s="22">
        <v>0</v>
      </c>
      <c r="F196" s="22">
        <v>1</v>
      </c>
      <c r="G196" s="22">
        <v>1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3">
        <v>44028.588194444397</v>
      </c>
      <c r="O196" s="23">
        <v>44036</v>
      </c>
      <c r="P196" s="24">
        <f t="shared" si="3"/>
        <v>8.4118055556027702</v>
      </c>
      <c r="Q196" s="20" t="s">
        <v>31</v>
      </c>
      <c r="R196" s="20" t="s">
        <v>31</v>
      </c>
      <c r="S196" s="22" t="s">
        <v>32</v>
      </c>
      <c r="T196" s="20">
        <v>11238.69</v>
      </c>
      <c r="U196" s="20" t="s">
        <v>39</v>
      </c>
      <c r="V196" s="25">
        <v>44032.466342592597</v>
      </c>
      <c r="W196" s="20" t="s">
        <v>34</v>
      </c>
      <c r="X196" s="20"/>
      <c r="Y196" s="26">
        <v>47.563888888922499</v>
      </c>
      <c r="Z196" s="22" t="s">
        <v>35</v>
      </c>
      <c r="AA196" s="27" t="s">
        <v>34</v>
      </c>
      <c r="AB196" s="27" t="s">
        <v>31</v>
      </c>
      <c r="AC196" s="28" t="s">
        <v>31</v>
      </c>
      <c r="AD196" s="28" t="s">
        <v>31</v>
      </c>
    </row>
    <row r="197" spans="1:30" ht="14.55" customHeight="1" x14ac:dyDescent="0.4">
      <c r="A197" s="20">
        <v>1</v>
      </c>
      <c r="B197" s="20">
        <v>199</v>
      </c>
      <c r="C197" s="21">
        <v>57</v>
      </c>
      <c r="D197" s="22" t="s">
        <v>38</v>
      </c>
      <c r="E197" s="22">
        <v>0</v>
      </c>
      <c r="F197" s="22">
        <v>1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3">
        <v>43908.598611111098</v>
      </c>
      <c r="O197" s="23">
        <v>43931</v>
      </c>
      <c r="P197" s="24">
        <f t="shared" si="3"/>
        <v>23.401388888902101</v>
      </c>
      <c r="Q197" s="20" t="s">
        <v>31</v>
      </c>
      <c r="R197" s="20" t="s">
        <v>31</v>
      </c>
      <c r="S197" s="20" t="s">
        <v>32</v>
      </c>
      <c r="T197" s="20">
        <v>47262.35</v>
      </c>
      <c r="U197" s="20" t="s">
        <v>36</v>
      </c>
      <c r="V197" s="25">
        <v>43910.453877314802</v>
      </c>
      <c r="W197" s="20" t="s">
        <v>34</v>
      </c>
      <c r="X197" s="20"/>
      <c r="Y197" s="26">
        <v>46.896944445557899</v>
      </c>
      <c r="Z197" s="22" t="s">
        <v>35</v>
      </c>
      <c r="AA197" s="27" t="s">
        <v>34</v>
      </c>
      <c r="AB197" s="27" t="s">
        <v>31</v>
      </c>
      <c r="AC197" s="28" t="s">
        <v>31</v>
      </c>
      <c r="AD197" s="28" t="s">
        <v>31</v>
      </c>
    </row>
    <row r="198" spans="1:30" ht="14.55" customHeight="1" x14ac:dyDescent="0.4">
      <c r="A198" s="20">
        <v>1</v>
      </c>
      <c r="B198" s="20">
        <v>200</v>
      </c>
      <c r="C198" s="21">
        <v>59</v>
      </c>
      <c r="D198" s="22" t="s">
        <v>38</v>
      </c>
      <c r="E198" s="22">
        <v>0</v>
      </c>
      <c r="F198" s="22">
        <v>1</v>
      </c>
      <c r="G198" s="22">
        <v>0</v>
      </c>
      <c r="H198" s="22">
        <v>1</v>
      </c>
      <c r="I198" s="22">
        <v>1</v>
      </c>
      <c r="J198" s="22">
        <v>0</v>
      </c>
      <c r="K198" s="22">
        <v>0</v>
      </c>
      <c r="L198" s="22">
        <v>0</v>
      </c>
      <c r="M198" s="22">
        <v>0</v>
      </c>
      <c r="N198" s="23">
        <v>44766.6027777778</v>
      </c>
      <c r="O198" s="23">
        <v>44772</v>
      </c>
      <c r="P198" s="24">
        <f t="shared" si="3"/>
        <v>6.3972222222000701</v>
      </c>
      <c r="Q198" s="20" t="s">
        <v>31</v>
      </c>
      <c r="R198" s="20" t="s">
        <v>31</v>
      </c>
      <c r="S198" s="22" t="s">
        <v>32</v>
      </c>
      <c r="T198" s="20">
        <v>9294.89</v>
      </c>
      <c r="U198" s="20" t="s">
        <v>40</v>
      </c>
      <c r="V198" s="25">
        <v>44769.468692129602</v>
      </c>
      <c r="W198" s="20" t="s">
        <v>34</v>
      </c>
      <c r="X198" s="20"/>
      <c r="Y198" s="26">
        <v>45.926944444770903</v>
      </c>
      <c r="Z198" s="22" t="s">
        <v>35</v>
      </c>
      <c r="AA198" s="27" t="s">
        <v>34</v>
      </c>
      <c r="AB198" s="27" t="s">
        <v>31</v>
      </c>
      <c r="AC198" s="28" t="s">
        <v>31</v>
      </c>
      <c r="AD198" s="28" t="s">
        <v>31</v>
      </c>
    </row>
    <row r="199" spans="1:30" ht="14.55" customHeight="1" x14ac:dyDescent="0.4">
      <c r="A199" s="20">
        <v>1</v>
      </c>
      <c r="B199" s="20">
        <v>201</v>
      </c>
      <c r="C199" s="21">
        <v>57</v>
      </c>
      <c r="D199" s="22" t="s">
        <v>38</v>
      </c>
      <c r="E199" s="22">
        <v>0</v>
      </c>
      <c r="F199" s="22">
        <v>1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3">
        <v>44682.625694444403</v>
      </c>
      <c r="O199" s="23">
        <v>44692</v>
      </c>
      <c r="P199" s="24">
        <f t="shared" si="3"/>
        <v>10.3743055555969</v>
      </c>
      <c r="Q199" s="20" t="s">
        <v>31</v>
      </c>
      <c r="R199" s="20" t="s">
        <v>31</v>
      </c>
      <c r="S199" s="22" t="s">
        <v>32</v>
      </c>
      <c r="T199" s="20">
        <v>10870.88</v>
      </c>
      <c r="U199" s="20" t="s">
        <v>40</v>
      </c>
      <c r="V199" s="25">
        <v>44690.6491550926</v>
      </c>
      <c r="W199" s="20" t="s">
        <v>34</v>
      </c>
      <c r="X199" s="20"/>
      <c r="Y199" s="26">
        <v>41.9477777783177</v>
      </c>
      <c r="Z199" s="22" t="s">
        <v>35</v>
      </c>
      <c r="AA199" s="27" t="s">
        <v>34</v>
      </c>
      <c r="AB199" s="27" t="s">
        <v>31</v>
      </c>
      <c r="AC199" s="28" t="s">
        <v>31</v>
      </c>
      <c r="AD199" s="28" t="s">
        <v>31</v>
      </c>
    </row>
    <row r="200" spans="1:30" ht="14.55" customHeight="1" x14ac:dyDescent="0.4">
      <c r="A200" s="20">
        <v>1</v>
      </c>
      <c r="B200" s="20">
        <v>202</v>
      </c>
      <c r="C200" s="21">
        <v>58</v>
      </c>
      <c r="D200" s="22" t="s">
        <v>38</v>
      </c>
      <c r="E200" s="22">
        <v>0</v>
      </c>
      <c r="F200" s="22">
        <v>1</v>
      </c>
      <c r="G200" s="22">
        <v>0</v>
      </c>
      <c r="H200" s="22">
        <v>0</v>
      </c>
      <c r="I200" s="22">
        <v>0</v>
      </c>
      <c r="J200" s="22">
        <v>1</v>
      </c>
      <c r="K200" s="22">
        <v>0</v>
      </c>
      <c r="L200" s="22">
        <v>0</v>
      </c>
      <c r="M200" s="22">
        <v>0</v>
      </c>
      <c r="N200" s="23">
        <v>44538.618750000001</v>
      </c>
      <c r="O200" s="23">
        <v>44550</v>
      </c>
      <c r="P200" s="24">
        <f t="shared" si="3"/>
        <v>12.3812499999985</v>
      </c>
      <c r="Q200" s="20" t="s">
        <v>31</v>
      </c>
      <c r="R200" s="20" t="s">
        <v>31</v>
      </c>
      <c r="S200" s="20" t="s">
        <v>32</v>
      </c>
      <c r="T200" s="20">
        <v>12151.19</v>
      </c>
      <c r="U200" s="20" t="s">
        <v>40</v>
      </c>
      <c r="V200" s="25">
        <v>44544.642303240696</v>
      </c>
      <c r="W200" s="20" t="s">
        <v>34</v>
      </c>
      <c r="X200" s="20"/>
      <c r="Y200" s="26">
        <v>43.751111112011102</v>
      </c>
      <c r="Z200" s="22" t="s">
        <v>35</v>
      </c>
      <c r="AA200" s="27" t="s">
        <v>34</v>
      </c>
      <c r="AB200" s="27" t="s">
        <v>31</v>
      </c>
      <c r="AC200" s="28" t="s">
        <v>31</v>
      </c>
      <c r="AD200" s="28" t="s">
        <v>31</v>
      </c>
    </row>
    <row r="201" spans="1:30" ht="14.55" customHeight="1" x14ac:dyDescent="0.4">
      <c r="A201" s="20">
        <v>1</v>
      </c>
      <c r="B201" s="20">
        <v>203</v>
      </c>
      <c r="C201" s="21">
        <v>56</v>
      </c>
      <c r="D201" s="22" t="s">
        <v>38</v>
      </c>
      <c r="E201" s="22">
        <v>0</v>
      </c>
      <c r="F201" s="22">
        <v>1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3">
        <v>44407.590972222199</v>
      </c>
      <c r="O201" s="23">
        <v>44419</v>
      </c>
      <c r="P201" s="24">
        <f t="shared" si="3"/>
        <v>12.4090277778014</v>
      </c>
      <c r="Q201" s="20" t="s">
        <v>31</v>
      </c>
      <c r="R201" s="20" t="s">
        <v>31</v>
      </c>
      <c r="S201" s="22" t="s">
        <v>32</v>
      </c>
      <c r="T201" s="20">
        <v>10460.209999999999</v>
      </c>
      <c r="U201" s="20" t="s">
        <v>39</v>
      </c>
      <c r="V201" s="25">
        <v>44413.636053240698</v>
      </c>
      <c r="W201" s="20" t="s">
        <v>62</v>
      </c>
      <c r="X201" s="20"/>
      <c r="Y201" s="26">
        <v>98.633055556914798</v>
      </c>
      <c r="Z201" s="22" t="s">
        <v>35</v>
      </c>
      <c r="AA201" s="27">
        <v>0</v>
      </c>
      <c r="AB201" s="27" t="s">
        <v>31</v>
      </c>
      <c r="AC201" s="28" t="s">
        <v>31</v>
      </c>
      <c r="AD201" s="28" t="s">
        <v>31</v>
      </c>
    </row>
    <row r="202" spans="1:30" ht="14.55" customHeight="1" x14ac:dyDescent="0.4">
      <c r="A202" s="20">
        <v>1</v>
      </c>
      <c r="B202" s="20">
        <v>204</v>
      </c>
      <c r="C202" s="21">
        <v>59</v>
      </c>
      <c r="D202" s="22" t="s">
        <v>38</v>
      </c>
      <c r="E202" s="22">
        <v>0</v>
      </c>
      <c r="F202" s="22">
        <v>1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3">
        <v>44960.595138888901</v>
      </c>
      <c r="O202" s="23">
        <v>44979</v>
      </c>
      <c r="P202" s="24">
        <f t="shared" si="3"/>
        <v>19.404861111099301</v>
      </c>
      <c r="Q202" s="20" t="s">
        <v>31</v>
      </c>
      <c r="R202" s="20" t="s">
        <v>31</v>
      </c>
      <c r="S202" s="20" t="s">
        <v>32</v>
      </c>
      <c r="T202" s="20">
        <v>33149.160000000003</v>
      </c>
      <c r="U202" s="20" t="s">
        <v>36</v>
      </c>
      <c r="V202" s="25">
        <v>44971.694780092599</v>
      </c>
      <c r="W202" s="20" t="s">
        <v>34</v>
      </c>
      <c r="X202" s="20"/>
      <c r="Y202" s="26">
        <v>41.476666665694196</v>
      </c>
      <c r="Z202" s="22" t="s">
        <v>35</v>
      </c>
      <c r="AA202" s="27" t="s">
        <v>34</v>
      </c>
      <c r="AB202" s="27" t="s">
        <v>31</v>
      </c>
      <c r="AC202" s="28" t="s">
        <v>31</v>
      </c>
      <c r="AD202" s="28" t="s">
        <v>31</v>
      </c>
    </row>
    <row r="203" spans="1:30" ht="14.55" customHeight="1" x14ac:dyDescent="0.4">
      <c r="A203" s="20">
        <v>1</v>
      </c>
      <c r="B203" s="20">
        <v>205</v>
      </c>
      <c r="C203" s="21">
        <v>56</v>
      </c>
      <c r="D203" s="22" t="s">
        <v>38</v>
      </c>
      <c r="E203" s="22">
        <v>0</v>
      </c>
      <c r="F203" s="22">
        <v>1</v>
      </c>
      <c r="G203" s="22">
        <v>0</v>
      </c>
      <c r="H203" s="22">
        <v>1</v>
      </c>
      <c r="I203" s="22">
        <v>1</v>
      </c>
      <c r="J203" s="22">
        <v>0</v>
      </c>
      <c r="K203" s="22">
        <v>0</v>
      </c>
      <c r="L203" s="22">
        <v>0</v>
      </c>
      <c r="M203" s="22">
        <v>0</v>
      </c>
      <c r="N203" s="23">
        <v>44394.444444444402</v>
      </c>
      <c r="O203" s="23">
        <v>44410</v>
      </c>
      <c r="P203" s="24">
        <f t="shared" si="3"/>
        <v>16.555555555598399</v>
      </c>
      <c r="Q203" s="20" t="s">
        <v>31</v>
      </c>
      <c r="R203" s="20" t="s">
        <v>31</v>
      </c>
      <c r="S203" s="20" t="s">
        <v>32</v>
      </c>
      <c r="T203" s="20">
        <v>104786.79</v>
      </c>
      <c r="U203" s="22" t="s">
        <v>40</v>
      </c>
      <c r="V203" s="25">
        <v>44396.507025462997</v>
      </c>
      <c r="W203" s="20" t="s">
        <v>34</v>
      </c>
      <c r="X203" s="20"/>
      <c r="Y203" s="26">
        <v>46.915833333623603</v>
      </c>
      <c r="Z203" s="22" t="s">
        <v>35</v>
      </c>
      <c r="AA203" s="27" t="s">
        <v>34</v>
      </c>
      <c r="AB203" s="27" t="s">
        <v>31</v>
      </c>
      <c r="AC203" s="28" t="s">
        <v>31</v>
      </c>
      <c r="AD203" s="28" t="s">
        <v>31</v>
      </c>
    </row>
    <row r="204" spans="1:30" ht="14.55" customHeight="1" x14ac:dyDescent="0.4">
      <c r="A204" s="20">
        <v>1</v>
      </c>
      <c r="B204" s="20">
        <v>206</v>
      </c>
      <c r="C204" s="21">
        <v>57</v>
      </c>
      <c r="D204" s="22" t="s">
        <v>38</v>
      </c>
      <c r="E204" s="22">
        <v>0</v>
      </c>
      <c r="F204" s="22">
        <v>1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3">
        <v>44769.595833333296</v>
      </c>
      <c r="O204" s="23">
        <v>44775</v>
      </c>
      <c r="P204" s="24">
        <f t="shared" si="3"/>
        <v>6.4041666667035297</v>
      </c>
      <c r="Q204" s="20" t="s">
        <v>31</v>
      </c>
      <c r="R204" s="20" t="s">
        <v>31</v>
      </c>
      <c r="S204" s="22" t="s">
        <v>32</v>
      </c>
      <c r="T204" s="20">
        <v>6690.94</v>
      </c>
      <c r="U204" s="20" t="s">
        <v>40</v>
      </c>
      <c r="V204" s="25">
        <v>44774.485891203702</v>
      </c>
      <c r="W204" s="20" t="s">
        <v>34</v>
      </c>
      <c r="X204" s="20"/>
      <c r="Y204" s="26">
        <v>46.776944445620799</v>
      </c>
      <c r="Z204" s="22" t="s">
        <v>35</v>
      </c>
      <c r="AA204" s="27" t="s">
        <v>34</v>
      </c>
      <c r="AB204" s="27" t="s">
        <v>31</v>
      </c>
      <c r="AC204" s="28" t="s">
        <v>31</v>
      </c>
      <c r="AD204" s="28" t="s">
        <v>31</v>
      </c>
    </row>
    <row r="205" spans="1:30" ht="14.55" customHeight="1" x14ac:dyDescent="0.4">
      <c r="A205" s="20">
        <v>1</v>
      </c>
      <c r="B205" s="20">
        <v>207</v>
      </c>
      <c r="C205" s="21">
        <v>59</v>
      </c>
      <c r="D205" s="22" t="s">
        <v>38</v>
      </c>
      <c r="E205" s="22">
        <v>0</v>
      </c>
      <c r="F205" s="22">
        <v>1</v>
      </c>
      <c r="G205" s="22">
        <v>1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3">
        <v>44441.631249999999</v>
      </c>
      <c r="O205" s="23">
        <v>44449</v>
      </c>
      <c r="P205" s="24">
        <f t="shared" si="3"/>
        <v>8.3687500000014605</v>
      </c>
      <c r="Q205" s="20" t="s">
        <v>31</v>
      </c>
      <c r="R205" s="20" t="s">
        <v>31</v>
      </c>
      <c r="S205" s="20" t="s">
        <v>32</v>
      </c>
      <c r="T205" s="20">
        <v>11008.55</v>
      </c>
      <c r="U205" s="20" t="s">
        <v>36</v>
      </c>
      <c r="V205" s="25">
        <v>44448.540844907402</v>
      </c>
      <c r="W205" s="20" t="s">
        <v>41</v>
      </c>
      <c r="X205" s="20"/>
      <c r="Y205" s="26">
        <v>48.790000000794002</v>
      </c>
      <c r="Z205" s="22" t="s">
        <v>35</v>
      </c>
      <c r="AA205" s="27">
        <v>1</v>
      </c>
      <c r="AB205" s="27" t="s">
        <v>31</v>
      </c>
      <c r="AC205" s="28">
        <v>1</v>
      </c>
      <c r="AD205" s="28" t="s">
        <v>31</v>
      </c>
    </row>
    <row r="206" spans="1:30" ht="14.55" customHeight="1" x14ac:dyDescent="0.4">
      <c r="A206" s="20">
        <v>1</v>
      </c>
      <c r="B206" s="20">
        <v>208</v>
      </c>
      <c r="C206" s="21">
        <v>57</v>
      </c>
      <c r="D206" s="22" t="s">
        <v>38</v>
      </c>
      <c r="E206" s="22">
        <v>0</v>
      </c>
      <c r="F206" s="22">
        <v>1</v>
      </c>
      <c r="G206" s="22">
        <v>0</v>
      </c>
      <c r="H206" s="22">
        <v>0</v>
      </c>
      <c r="I206" s="22">
        <v>1</v>
      </c>
      <c r="J206" s="22">
        <v>0</v>
      </c>
      <c r="K206" s="22">
        <v>0</v>
      </c>
      <c r="L206" s="22">
        <v>0</v>
      </c>
      <c r="M206" s="22">
        <v>0</v>
      </c>
      <c r="N206" s="23">
        <v>44874.695138888899</v>
      </c>
      <c r="O206" s="23">
        <v>44881</v>
      </c>
      <c r="P206" s="24">
        <f t="shared" si="3"/>
        <v>7.3048611111007604</v>
      </c>
      <c r="Q206" s="20" t="s">
        <v>31</v>
      </c>
      <c r="R206" s="20" t="s">
        <v>31</v>
      </c>
      <c r="S206" s="22" t="s">
        <v>32</v>
      </c>
      <c r="T206" s="20">
        <v>8075.58</v>
      </c>
      <c r="U206" s="20" t="s">
        <v>40</v>
      </c>
      <c r="V206" s="25">
        <v>44879.5213194444</v>
      </c>
      <c r="W206" s="20" t="s">
        <v>34</v>
      </c>
      <c r="X206" s="20"/>
      <c r="Y206" s="26">
        <v>45.196666667936398</v>
      </c>
      <c r="Z206" s="22" t="s">
        <v>35</v>
      </c>
      <c r="AA206" s="27" t="s">
        <v>34</v>
      </c>
      <c r="AB206" s="27" t="s">
        <v>31</v>
      </c>
      <c r="AC206" s="28" t="s">
        <v>31</v>
      </c>
      <c r="AD206" s="28" t="s">
        <v>31</v>
      </c>
    </row>
    <row r="207" spans="1:30" ht="14.55" customHeight="1" x14ac:dyDescent="0.4">
      <c r="A207" s="20">
        <v>1</v>
      </c>
      <c r="B207" s="20">
        <v>209</v>
      </c>
      <c r="C207" s="21">
        <v>59</v>
      </c>
      <c r="D207" s="22" t="s">
        <v>38</v>
      </c>
      <c r="E207" s="22">
        <v>0</v>
      </c>
      <c r="F207" s="22">
        <v>1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3">
        <v>44851.633333333302</v>
      </c>
      <c r="O207" s="23">
        <v>44860</v>
      </c>
      <c r="P207" s="24">
        <f t="shared" si="3"/>
        <v>9.3666666666977108</v>
      </c>
      <c r="Q207" s="20" t="s">
        <v>31</v>
      </c>
      <c r="R207" s="20" t="s">
        <v>31</v>
      </c>
      <c r="S207" s="20" t="s">
        <v>32</v>
      </c>
      <c r="T207" s="20">
        <v>10850.39</v>
      </c>
      <c r="U207" s="20" t="s">
        <v>39</v>
      </c>
      <c r="V207" s="25">
        <v>44855.490891203699</v>
      </c>
      <c r="W207" s="20" t="s">
        <v>41</v>
      </c>
      <c r="X207" s="20"/>
      <c r="Y207" s="26">
        <v>93.325833333539805</v>
      </c>
      <c r="Z207" s="22" t="s">
        <v>35</v>
      </c>
      <c r="AA207" s="27">
        <v>1</v>
      </c>
      <c r="AB207" s="27" t="s">
        <v>31</v>
      </c>
      <c r="AC207" s="28">
        <v>1</v>
      </c>
      <c r="AD207" s="28" t="s">
        <v>31</v>
      </c>
    </row>
    <row r="208" spans="1:30" ht="14.55" customHeight="1" x14ac:dyDescent="0.4">
      <c r="A208" s="20">
        <v>1</v>
      </c>
      <c r="B208" s="20">
        <v>210</v>
      </c>
      <c r="C208" s="21">
        <v>56</v>
      </c>
      <c r="D208" s="22" t="s">
        <v>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3">
        <v>44189.694444444402</v>
      </c>
      <c r="O208" s="23">
        <v>44196</v>
      </c>
      <c r="P208" s="24">
        <f t="shared" si="3"/>
        <v>7.3055555555984002</v>
      </c>
      <c r="Q208" s="20" t="s">
        <v>31</v>
      </c>
      <c r="R208" s="20" t="s">
        <v>31</v>
      </c>
      <c r="S208" s="20" t="s">
        <v>32</v>
      </c>
      <c r="T208" s="20">
        <v>5015.82</v>
      </c>
      <c r="U208" s="20" t="s">
        <v>36</v>
      </c>
      <c r="V208" s="25">
        <v>44194.695648148103</v>
      </c>
      <c r="W208" s="20" t="s">
        <v>34</v>
      </c>
      <c r="X208" s="20"/>
      <c r="Y208" s="26">
        <v>40.9730555566493</v>
      </c>
      <c r="Z208" s="22" t="s">
        <v>35</v>
      </c>
      <c r="AA208" s="27" t="s">
        <v>34</v>
      </c>
      <c r="AB208" s="27" t="s">
        <v>31</v>
      </c>
      <c r="AC208" s="28" t="s">
        <v>31</v>
      </c>
      <c r="AD208" s="28" t="s">
        <v>31</v>
      </c>
    </row>
    <row r="209" spans="1:30" ht="14.55" customHeight="1" x14ac:dyDescent="0.4">
      <c r="A209" s="20">
        <v>1</v>
      </c>
      <c r="B209" s="20">
        <v>211</v>
      </c>
      <c r="C209" s="21">
        <v>59</v>
      </c>
      <c r="D209" s="22" t="s">
        <v>38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3">
        <v>44694.588888888902</v>
      </c>
      <c r="O209" s="23">
        <v>44705</v>
      </c>
      <c r="P209" s="24">
        <f t="shared" si="3"/>
        <v>11.411111111097901</v>
      </c>
      <c r="Q209" s="20" t="s">
        <v>31</v>
      </c>
      <c r="R209" s="20" t="s">
        <v>31</v>
      </c>
      <c r="S209" s="20" t="s">
        <v>32</v>
      </c>
      <c r="T209" s="20">
        <v>9106.32</v>
      </c>
      <c r="U209" s="20" t="s">
        <v>36</v>
      </c>
      <c r="V209" s="25">
        <v>44699.634872685201</v>
      </c>
      <c r="W209" s="20" t="s">
        <v>34</v>
      </c>
      <c r="X209" s="20"/>
      <c r="Y209" s="26">
        <v>42.980277777649498</v>
      </c>
      <c r="Z209" s="22" t="s">
        <v>35</v>
      </c>
      <c r="AA209" s="27" t="s">
        <v>34</v>
      </c>
      <c r="AB209" s="27" t="s">
        <v>31</v>
      </c>
      <c r="AC209" s="28" t="s">
        <v>31</v>
      </c>
      <c r="AD209" s="28" t="s">
        <v>31</v>
      </c>
    </row>
    <row r="210" spans="1:30" ht="14.55" customHeight="1" x14ac:dyDescent="0.4">
      <c r="A210" s="20">
        <v>1</v>
      </c>
      <c r="B210" s="20">
        <v>212</v>
      </c>
      <c r="C210" s="21">
        <v>55</v>
      </c>
      <c r="D210" s="22" t="s">
        <v>38</v>
      </c>
      <c r="E210" s="22">
        <v>0</v>
      </c>
      <c r="F210" s="22">
        <v>1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3">
        <v>44954.399305555598</v>
      </c>
      <c r="O210" s="23">
        <v>44964</v>
      </c>
      <c r="P210" s="24">
        <f t="shared" si="3"/>
        <v>10.600694444401601</v>
      </c>
      <c r="Q210" s="20" t="s">
        <v>31</v>
      </c>
      <c r="R210" s="20" t="s">
        <v>31</v>
      </c>
      <c r="S210" s="20" t="s">
        <v>32</v>
      </c>
      <c r="T210" s="20">
        <v>44487.19</v>
      </c>
      <c r="U210" s="20" t="s">
        <v>40</v>
      </c>
      <c r="V210" s="25">
        <v>44959.558946759302</v>
      </c>
      <c r="W210" s="20" t="s">
        <v>34</v>
      </c>
      <c r="X210" s="20"/>
      <c r="Y210" s="26">
        <v>48.426666664774501</v>
      </c>
      <c r="Z210" s="22" t="s">
        <v>35</v>
      </c>
      <c r="AA210" s="27" t="s">
        <v>34</v>
      </c>
      <c r="AB210" s="27" t="s">
        <v>31</v>
      </c>
      <c r="AC210" s="28" t="s">
        <v>31</v>
      </c>
      <c r="AD210" s="28" t="s">
        <v>31</v>
      </c>
    </row>
    <row r="211" spans="1:30" ht="14.55" customHeight="1" x14ac:dyDescent="0.4">
      <c r="A211" s="20">
        <v>1</v>
      </c>
      <c r="B211" s="20">
        <v>213</v>
      </c>
      <c r="C211" s="21">
        <v>56</v>
      </c>
      <c r="D211" s="22" t="s">
        <v>38</v>
      </c>
      <c r="E211" s="22">
        <v>0</v>
      </c>
      <c r="F211" s="22">
        <v>1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3">
        <v>44421.670833333301</v>
      </c>
      <c r="O211" s="23">
        <v>44427</v>
      </c>
      <c r="P211" s="24">
        <f t="shared" si="3"/>
        <v>6.3291666666991704</v>
      </c>
      <c r="Q211" s="20" t="s">
        <v>31</v>
      </c>
      <c r="R211" s="20" t="s">
        <v>31</v>
      </c>
      <c r="S211" s="20" t="s">
        <v>32</v>
      </c>
      <c r="T211" s="20">
        <v>8191.14</v>
      </c>
      <c r="U211" s="20" t="s">
        <v>39</v>
      </c>
      <c r="V211" s="25">
        <v>44424.577997685199</v>
      </c>
      <c r="W211" s="20" t="s">
        <v>34</v>
      </c>
      <c r="X211" s="20"/>
      <c r="Y211" s="26">
        <v>44.142499999143197</v>
      </c>
      <c r="Z211" s="22" t="s">
        <v>35</v>
      </c>
      <c r="AA211" s="27" t="s">
        <v>34</v>
      </c>
      <c r="AB211" s="27" t="s">
        <v>31</v>
      </c>
      <c r="AC211" s="28" t="s">
        <v>31</v>
      </c>
      <c r="AD211" s="28" t="s">
        <v>31</v>
      </c>
    </row>
    <row r="212" spans="1:30" ht="14.55" customHeight="1" x14ac:dyDescent="0.4">
      <c r="A212" s="20">
        <v>1</v>
      </c>
      <c r="B212" s="20">
        <v>214</v>
      </c>
      <c r="C212" s="21">
        <v>59</v>
      </c>
      <c r="D212" s="22" t="s">
        <v>38</v>
      </c>
      <c r="E212" s="22">
        <v>1</v>
      </c>
      <c r="F212" s="22">
        <v>1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3">
        <v>44985.543055555601</v>
      </c>
      <c r="O212" s="23">
        <v>44996</v>
      </c>
      <c r="P212" s="24">
        <f t="shared" si="3"/>
        <v>11.456944444398699</v>
      </c>
      <c r="Q212" s="20" t="s">
        <v>31</v>
      </c>
      <c r="R212" s="20" t="s">
        <v>31</v>
      </c>
      <c r="S212" s="20" t="s">
        <v>32</v>
      </c>
      <c r="T212" s="20">
        <v>29443.43</v>
      </c>
      <c r="U212" s="20" t="s">
        <v>39</v>
      </c>
      <c r="V212" s="25">
        <v>44986.496956018498</v>
      </c>
      <c r="W212" s="20" t="s">
        <v>34</v>
      </c>
      <c r="X212" s="20"/>
      <c r="Y212" s="26">
        <v>46.151111111976199</v>
      </c>
      <c r="Z212" s="22" t="s">
        <v>35</v>
      </c>
      <c r="AA212" s="27" t="s">
        <v>34</v>
      </c>
      <c r="AB212" s="27" t="s">
        <v>31</v>
      </c>
      <c r="AC212" s="28" t="s">
        <v>31</v>
      </c>
      <c r="AD212" s="28" t="s">
        <v>31</v>
      </c>
    </row>
    <row r="213" spans="1:30" ht="14.55" customHeight="1" x14ac:dyDescent="0.4">
      <c r="A213" s="20">
        <v>1</v>
      </c>
      <c r="B213" s="20">
        <v>215</v>
      </c>
      <c r="C213" s="21">
        <v>55</v>
      </c>
      <c r="D213" s="22" t="s">
        <v>38</v>
      </c>
      <c r="E213" s="22">
        <v>0</v>
      </c>
      <c r="F213" s="22">
        <v>1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3">
        <v>44701.863888888904</v>
      </c>
      <c r="O213" s="23">
        <v>44733</v>
      </c>
      <c r="P213" s="24">
        <f t="shared" si="3"/>
        <v>32.136111111096398</v>
      </c>
      <c r="Q213" s="20" t="s">
        <v>31</v>
      </c>
      <c r="R213" s="20" t="s">
        <v>31</v>
      </c>
      <c r="S213" s="22" t="s">
        <v>32</v>
      </c>
      <c r="T213" s="20">
        <v>124435.67</v>
      </c>
      <c r="U213" s="22" t="s">
        <v>40</v>
      </c>
      <c r="V213" s="25">
        <v>44708.469259259298</v>
      </c>
      <c r="W213" s="20" t="s">
        <v>44</v>
      </c>
      <c r="X213" s="20"/>
      <c r="Y213" s="26">
        <v>68.600277777586598</v>
      </c>
      <c r="Z213" s="22" t="s">
        <v>35</v>
      </c>
      <c r="AA213" s="27">
        <v>1</v>
      </c>
      <c r="AB213" s="27" t="s">
        <v>31</v>
      </c>
      <c r="AC213" s="28">
        <v>1</v>
      </c>
      <c r="AD213" s="28" t="s">
        <v>31</v>
      </c>
    </row>
    <row r="214" spans="1:30" ht="14.55" customHeight="1" x14ac:dyDescent="0.4">
      <c r="A214" s="20">
        <v>1</v>
      </c>
      <c r="B214" s="20">
        <v>216</v>
      </c>
      <c r="C214" s="21">
        <v>55</v>
      </c>
      <c r="D214" s="22" t="s">
        <v>38</v>
      </c>
      <c r="E214" s="22">
        <v>1</v>
      </c>
      <c r="F214" s="22">
        <v>1</v>
      </c>
      <c r="G214" s="22">
        <v>0</v>
      </c>
      <c r="H214" s="22">
        <v>1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3">
        <v>44954.470138888901</v>
      </c>
      <c r="O214" s="23">
        <v>44977</v>
      </c>
      <c r="P214" s="24">
        <f t="shared" si="3"/>
        <v>23.529861111099301</v>
      </c>
      <c r="Q214" s="20" t="s">
        <v>31</v>
      </c>
      <c r="R214" s="20" t="s">
        <v>31</v>
      </c>
      <c r="S214" s="22" t="s">
        <v>32</v>
      </c>
      <c r="T214" s="20">
        <v>214887.18</v>
      </c>
      <c r="U214" s="20" t="s">
        <v>40</v>
      </c>
      <c r="V214" s="25">
        <v>44960.512557870403</v>
      </c>
      <c r="W214" s="20" t="s">
        <v>57</v>
      </c>
      <c r="X214" s="20"/>
      <c r="Y214" s="26">
        <v>47.274999998335304</v>
      </c>
      <c r="Z214" s="22" t="s">
        <v>35</v>
      </c>
      <c r="AA214" s="27">
        <v>1</v>
      </c>
      <c r="AB214" s="27" t="s">
        <v>31</v>
      </c>
      <c r="AC214" s="28">
        <v>2</v>
      </c>
      <c r="AD214" s="28" t="s">
        <v>31</v>
      </c>
    </row>
    <row r="215" spans="1:30" ht="14.55" customHeight="1" x14ac:dyDescent="0.4">
      <c r="A215" s="20">
        <v>1</v>
      </c>
      <c r="B215" s="20">
        <v>217</v>
      </c>
      <c r="C215" s="21">
        <v>57</v>
      </c>
      <c r="D215" s="22" t="s">
        <v>38</v>
      </c>
      <c r="E215" s="22">
        <v>0</v>
      </c>
      <c r="F215" s="22">
        <v>1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3">
        <v>44514.605555555601</v>
      </c>
      <c r="O215" s="23">
        <v>44524</v>
      </c>
      <c r="P215" s="24">
        <f t="shared" si="3"/>
        <v>10.394444444398699</v>
      </c>
      <c r="Q215" s="20" t="s">
        <v>31</v>
      </c>
      <c r="R215" s="20" t="s">
        <v>31</v>
      </c>
      <c r="S215" s="20" t="s">
        <v>32</v>
      </c>
      <c r="T215" s="20">
        <v>13282.52</v>
      </c>
      <c r="U215" s="20" t="s">
        <v>39</v>
      </c>
      <c r="V215" s="25">
        <v>44517.551099536999</v>
      </c>
      <c r="W215" s="20" t="s">
        <v>34</v>
      </c>
      <c r="X215" s="20"/>
      <c r="Y215" s="26">
        <v>45.8277777791955</v>
      </c>
      <c r="Z215" s="22" t="s">
        <v>35</v>
      </c>
      <c r="AA215" s="27" t="s">
        <v>34</v>
      </c>
      <c r="AB215" s="27" t="s">
        <v>31</v>
      </c>
      <c r="AC215" s="28" t="s">
        <v>31</v>
      </c>
      <c r="AD215" s="28" t="s">
        <v>31</v>
      </c>
    </row>
    <row r="216" spans="1:30" ht="14.55" customHeight="1" x14ac:dyDescent="0.4">
      <c r="A216" s="20">
        <v>1</v>
      </c>
      <c r="B216" s="20">
        <v>218</v>
      </c>
      <c r="C216" s="21">
        <v>61</v>
      </c>
      <c r="D216" s="22" t="s">
        <v>38</v>
      </c>
      <c r="E216" s="22">
        <v>0</v>
      </c>
      <c r="F216" s="22">
        <v>1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3">
        <v>44262.609027777798</v>
      </c>
      <c r="O216" s="23">
        <v>44267</v>
      </c>
      <c r="P216" s="24">
        <f t="shared" si="3"/>
        <v>5.3909722222015297</v>
      </c>
      <c r="Q216" s="20" t="s">
        <v>31</v>
      </c>
      <c r="R216" s="20" t="s">
        <v>31</v>
      </c>
      <c r="S216" s="22" t="s">
        <v>32</v>
      </c>
      <c r="T216" s="20">
        <v>8376.41</v>
      </c>
      <c r="U216" s="20" t="s">
        <v>36</v>
      </c>
      <c r="V216" s="25">
        <v>44266.475729166697</v>
      </c>
      <c r="W216" s="20" t="s">
        <v>34</v>
      </c>
      <c r="X216" s="20"/>
      <c r="Y216" s="26">
        <v>47.912499998405103</v>
      </c>
      <c r="Z216" s="22" t="s">
        <v>35</v>
      </c>
      <c r="AA216" s="27" t="s">
        <v>34</v>
      </c>
      <c r="AB216" s="27" t="s">
        <v>31</v>
      </c>
      <c r="AC216" s="28" t="s">
        <v>31</v>
      </c>
      <c r="AD216" s="28" t="s">
        <v>31</v>
      </c>
    </row>
    <row r="217" spans="1:30" ht="14.55" customHeight="1" x14ac:dyDescent="0.4">
      <c r="A217" s="20">
        <v>1</v>
      </c>
      <c r="B217" s="20">
        <v>219</v>
      </c>
      <c r="C217" s="21">
        <v>62</v>
      </c>
      <c r="D217" s="22" t="s">
        <v>38</v>
      </c>
      <c r="E217" s="22">
        <v>1</v>
      </c>
      <c r="F217" s="22">
        <v>1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3">
        <v>44799.604166666701</v>
      </c>
      <c r="O217" s="23">
        <v>44811</v>
      </c>
      <c r="P217" s="24">
        <f t="shared" si="3"/>
        <v>12.3958333332994</v>
      </c>
      <c r="Q217" s="20" t="s">
        <v>31</v>
      </c>
      <c r="R217" s="20" t="s">
        <v>31</v>
      </c>
      <c r="S217" s="22" t="s">
        <v>32</v>
      </c>
      <c r="T217" s="20">
        <v>11676.21</v>
      </c>
      <c r="U217" s="20" t="s">
        <v>36</v>
      </c>
      <c r="V217" s="25">
        <v>44803.720173611102</v>
      </c>
      <c r="W217" s="20" t="s">
        <v>34</v>
      </c>
      <c r="X217" s="20"/>
      <c r="Y217" s="26">
        <v>40.437777777551702</v>
      </c>
      <c r="Z217" s="22" t="s">
        <v>35</v>
      </c>
      <c r="AA217" s="27" t="s">
        <v>34</v>
      </c>
      <c r="AB217" s="27" t="s">
        <v>31</v>
      </c>
      <c r="AC217" s="28" t="s">
        <v>31</v>
      </c>
      <c r="AD217" s="28" t="s">
        <v>31</v>
      </c>
    </row>
    <row r="218" spans="1:30" ht="14.55" customHeight="1" x14ac:dyDescent="0.4">
      <c r="A218" s="20">
        <v>1</v>
      </c>
      <c r="B218" s="20">
        <v>220</v>
      </c>
      <c r="C218" s="21">
        <v>64</v>
      </c>
      <c r="D218" s="22" t="s">
        <v>38</v>
      </c>
      <c r="E218" s="22">
        <v>0</v>
      </c>
      <c r="F218" s="22">
        <v>0</v>
      </c>
      <c r="G218" s="22">
        <v>1</v>
      </c>
      <c r="H218" s="22">
        <v>0</v>
      </c>
      <c r="I218" s="22">
        <v>1</v>
      </c>
      <c r="J218" s="22">
        <v>0</v>
      </c>
      <c r="K218" s="22">
        <v>0</v>
      </c>
      <c r="L218" s="22">
        <v>0</v>
      </c>
      <c r="M218" s="22">
        <v>0</v>
      </c>
      <c r="N218" s="23">
        <v>44016.59375</v>
      </c>
      <c r="O218" s="23">
        <v>44024</v>
      </c>
      <c r="P218" s="24">
        <f t="shared" si="3"/>
        <v>8.40625</v>
      </c>
      <c r="Q218" s="20" t="s">
        <v>31</v>
      </c>
      <c r="R218" s="20" t="s">
        <v>31</v>
      </c>
      <c r="S218" s="20" t="s">
        <v>32</v>
      </c>
      <c r="T218" s="20">
        <v>12142.36</v>
      </c>
      <c r="U218" s="20" t="s">
        <v>36</v>
      </c>
      <c r="V218" s="25">
        <v>44020.494641203702</v>
      </c>
      <c r="W218" s="20" t="s">
        <v>34</v>
      </c>
      <c r="X218" s="20"/>
      <c r="Y218" s="26">
        <v>48.023055556754102</v>
      </c>
      <c r="Z218" s="22" t="s">
        <v>35</v>
      </c>
      <c r="AA218" s="27" t="s">
        <v>34</v>
      </c>
      <c r="AB218" s="27" t="s">
        <v>31</v>
      </c>
      <c r="AC218" s="28" t="s">
        <v>31</v>
      </c>
      <c r="AD218" s="28" t="s">
        <v>31</v>
      </c>
    </row>
    <row r="219" spans="1:30" ht="14.55" customHeight="1" x14ac:dyDescent="0.4">
      <c r="A219" s="20">
        <v>1</v>
      </c>
      <c r="B219" s="20">
        <v>221</v>
      </c>
      <c r="C219" s="21">
        <v>62</v>
      </c>
      <c r="D219" s="22" t="s">
        <v>38</v>
      </c>
      <c r="E219" s="22">
        <v>0</v>
      </c>
      <c r="F219" s="22">
        <v>1</v>
      </c>
      <c r="G219" s="22">
        <v>1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1</v>
      </c>
      <c r="N219" s="23">
        <v>44716.695138888899</v>
      </c>
      <c r="O219" s="23">
        <v>44722</v>
      </c>
      <c r="P219" s="24">
        <f t="shared" si="3"/>
        <v>6.3048611111007604</v>
      </c>
      <c r="Q219" s="20" t="s">
        <v>31</v>
      </c>
      <c r="R219" s="20" t="s">
        <v>31</v>
      </c>
      <c r="S219" s="22" t="s">
        <v>32</v>
      </c>
      <c r="T219" s="20">
        <v>8291.58</v>
      </c>
      <c r="U219" s="20" t="s">
        <v>36</v>
      </c>
      <c r="V219" s="25">
        <v>44719.497233796297</v>
      </c>
      <c r="W219" s="20" t="s">
        <v>34</v>
      </c>
      <c r="X219" s="20"/>
      <c r="Y219" s="26">
        <v>45.495555554400198</v>
      </c>
      <c r="Z219" s="22" t="s">
        <v>35</v>
      </c>
      <c r="AA219" s="27" t="s">
        <v>34</v>
      </c>
      <c r="AB219" s="27" t="s">
        <v>31</v>
      </c>
      <c r="AC219" s="28" t="s">
        <v>31</v>
      </c>
      <c r="AD219" s="28" t="s">
        <v>31</v>
      </c>
    </row>
    <row r="220" spans="1:30" ht="14.55" customHeight="1" x14ac:dyDescent="0.4">
      <c r="A220" s="20">
        <v>1</v>
      </c>
      <c r="B220" s="20">
        <v>222</v>
      </c>
      <c r="C220" s="21">
        <v>63</v>
      </c>
      <c r="D220" s="22" t="s">
        <v>38</v>
      </c>
      <c r="E220" s="22">
        <v>0</v>
      </c>
      <c r="F220" s="22">
        <v>1</v>
      </c>
      <c r="G220" s="22">
        <v>0</v>
      </c>
      <c r="H220" s="22">
        <v>0</v>
      </c>
      <c r="I220" s="22">
        <v>0</v>
      </c>
      <c r="J220" s="22">
        <v>1</v>
      </c>
      <c r="K220" s="22">
        <v>0</v>
      </c>
      <c r="L220" s="22">
        <v>0</v>
      </c>
      <c r="M220" s="22">
        <v>0</v>
      </c>
      <c r="N220" s="23">
        <v>44544.619444444397</v>
      </c>
      <c r="O220" s="23">
        <v>44554</v>
      </c>
      <c r="P220" s="24">
        <f t="shared" si="3"/>
        <v>10.3805555556028</v>
      </c>
      <c r="Q220" s="20" t="s">
        <v>31</v>
      </c>
      <c r="R220" s="20" t="s">
        <v>31</v>
      </c>
      <c r="S220" s="22" t="s">
        <v>32</v>
      </c>
      <c r="T220" s="20">
        <v>10313.75</v>
      </c>
      <c r="U220" s="20" t="s">
        <v>36</v>
      </c>
      <c r="V220" s="25">
        <v>44550.445150462998</v>
      </c>
      <c r="W220" s="20" t="s">
        <v>63</v>
      </c>
      <c r="X220" s="20"/>
      <c r="Y220" s="26">
        <v>70.896666664921199</v>
      </c>
      <c r="Z220" s="22" t="s">
        <v>35</v>
      </c>
      <c r="AA220" s="27">
        <v>1</v>
      </c>
      <c r="AB220" s="27" t="s">
        <v>31</v>
      </c>
      <c r="AC220" s="28">
        <v>2</v>
      </c>
      <c r="AD220" s="28" t="s">
        <v>31</v>
      </c>
    </row>
    <row r="221" spans="1:30" ht="14.55" customHeight="1" x14ac:dyDescent="0.4">
      <c r="A221" s="20">
        <v>1</v>
      </c>
      <c r="B221" s="20">
        <v>223</v>
      </c>
      <c r="C221" s="21">
        <v>64</v>
      </c>
      <c r="D221" s="22" t="s">
        <v>38</v>
      </c>
      <c r="E221" s="22">
        <v>0</v>
      </c>
      <c r="F221" s="22">
        <v>1</v>
      </c>
      <c r="G221" s="22">
        <v>0</v>
      </c>
      <c r="H221" s="22">
        <v>1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3">
        <v>43952.603472222203</v>
      </c>
      <c r="O221" s="23">
        <v>43987</v>
      </c>
      <c r="P221" s="24">
        <f t="shared" si="3"/>
        <v>35.396527777796997</v>
      </c>
      <c r="Q221" s="20" t="s">
        <v>31</v>
      </c>
      <c r="R221" s="20" t="s">
        <v>31</v>
      </c>
      <c r="S221" s="20" t="s">
        <v>32</v>
      </c>
      <c r="T221" s="26">
        <v>99441.9</v>
      </c>
      <c r="U221" s="20" t="s">
        <v>36</v>
      </c>
      <c r="V221" s="25">
        <v>43960.504374999997</v>
      </c>
      <c r="W221" s="20" t="s">
        <v>34</v>
      </c>
      <c r="X221" s="20"/>
      <c r="Y221" s="26">
        <v>47.440833333763301</v>
      </c>
      <c r="Z221" s="22" t="s">
        <v>35</v>
      </c>
      <c r="AA221" s="27" t="s">
        <v>34</v>
      </c>
      <c r="AB221" s="27" t="s">
        <v>31</v>
      </c>
      <c r="AC221" s="28" t="s">
        <v>31</v>
      </c>
      <c r="AD221" s="28" t="s">
        <v>31</v>
      </c>
    </row>
    <row r="222" spans="1:30" ht="14.55" customHeight="1" x14ac:dyDescent="0.4">
      <c r="A222" s="20">
        <v>1</v>
      </c>
      <c r="B222" s="20">
        <v>224</v>
      </c>
      <c r="C222" s="21">
        <v>63</v>
      </c>
      <c r="D222" s="22" t="s">
        <v>38</v>
      </c>
      <c r="E222" s="22">
        <v>0</v>
      </c>
      <c r="F222" s="22">
        <v>1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3">
        <v>44133.652777777803</v>
      </c>
      <c r="O222" s="23">
        <v>44145</v>
      </c>
      <c r="P222" s="24">
        <f t="shared" si="3"/>
        <v>12.3472222221972</v>
      </c>
      <c r="Q222" s="20" t="s">
        <v>31</v>
      </c>
      <c r="R222" s="20" t="s">
        <v>31</v>
      </c>
      <c r="S222" s="22" t="s">
        <v>32</v>
      </c>
      <c r="T222" s="20">
        <v>11275.89</v>
      </c>
      <c r="U222" s="20" t="s">
        <v>36</v>
      </c>
      <c r="V222" s="25">
        <v>44144.630810185197</v>
      </c>
      <c r="W222" s="20" t="s">
        <v>34</v>
      </c>
      <c r="X222" s="20"/>
      <c r="Y222" s="26">
        <v>259.765555555292</v>
      </c>
      <c r="Z222" s="22" t="s">
        <v>35</v>
      </c>
      <c r="AA222" s="27" t="s">
        <v>34</v>
      </c>
      <c r="AB222" s="27" t="s">
        <v>31</v>
      </c>
      <c r="AC222" s="28" t="s">
        <v>31</v>
      </c>
      <c r="AD222" s="28" t="s">
        <v>31</v>
      </c>
    </row>
    <row r="223" spans="1:30" ht="14.55" customHeight="1" x14ac:dyDescent="0.4">
      <c r="A223" s="20">
        <v>1</v>
      </c>
      <c r="B223" s="20">
        <v>225</v>
      </c>
      <c r="C223" s="21">
        <v>60</v>
      </c>
      <c r="D223" s="22" t="s">
        <v>38</v>
      </c>
      <c r="E223" s="22">
        <v>0</v>
      </c>
      <c r="F223" s="22">
        <v>1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3">
        <v>44684.627777777801</v>
      </c>
      <c r="O223" s="23">
        <v>44691</v>
      </c>
      <c r="P223" s="24">
        <f t="shared" si="3"/>
        <v>7.3722222221986202</v>
      </c>
      <c r="Q223" s="20" t="s">
        <v>31</v>
      </c>
      <c r="R223" s="20" t="s">
        <v>31</v>
      </c>
      <c r="S223" s="20" t="s">
        <v>32</v>
      </c>
      <c r="T223" s="20">
        <v>10725.39</v>
      </c>
      <c r="U223" s="22" t="s">
        <v>36</v>
      </c>
      <c r="V223" s="25">
        <v>44688.497638888897</v>
      </c>
      <c r="W223" s="20" t="s">
        <v>34</v>
      </c>
      <c r="X223" s="20"/>
      <c r="Y223" s="26">
        <v>45.046666665701203</v>
      </c>
      <c r="Z223" s="22" t="s">
        <v>35</v>
      </c>
      <c r="AA223" s="27" t="s">
        <v>34</v>
      </c>
      <c r="AB223" s="27" t="s">
        <v>31</v>
      </c>
      <c r="AC223" s="28" t="s">
        <v>31</v>
      </c>
      <c r="AD223" s="28" t="s">
        <v>31</v>
      </c>
    </row>
    <row r="224" spans="1:30" ht="14.55" customHeight="1" x14ac:dyDescent="0.4">
      <c r="A224" s="20">
        <v>1</v>
      </c>
      <c r="B224" s="20">
        <v>226</v>
      </c>
      <c r="C224" s="21">
        <v>60</v>
      </c>
      <c r="D224" s="22" t="s">
        <v>38</v>
      </c>
      <c r="E224" s="22">
        <v>1</v>
      </c>
      <c r="F224" s="22">
        <v>1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3">
        <v>44909.667361111096</v>
      </c>
      <c r="O224" s="23">
        <v>44915</v>
      </c>
      <c r="P224" s="24">
        <f t="shared" si="3"/>
        <v>6.3326388889035998</v>
      </c>
      <c r="Q224" s="20" t="s">
        <v>31</v>
      </c>
      <c r="R224" s="20" t="s">
        <v>31</v>
      </c>
      <c r="S224" s="20" t="s">
        <v>32</v>
      </c>
      <c r="T224" s="20">
        <v>6322.25</v>
      </c>
      <c r="U224" s="20" t="s">
        <v>36</v>
      </c>
      <c r="V224" s="25">
        <v>44911.516215277799</v>
      </c>
      <c r="W224" s="20" t="s">
        <v>34</v>
      </c>
      <c r="X224" s="20"/>
      <c r="Y224" s="26">
        <v>45.171111110423197</v>
      </c>
      <c r="Z224" s="22" t="s">
        <v>35</v>
      </c>
      <c r="AA224" s="27" t="s">
        <v>34</v>
      </c>
      <c r="AB224" s="27" t="s">
        <v>31</v>
      </c>
      <c r="AC224" s="28" t="s">
        <v>31</v>
      </c>
      <c r="AD224" s="28" t="s">
        <v>31</v>
      </c>
    </row>
    <row r="225" spans="1:30" ht="14.55" customHeight="1" x14ac:dyDescent="0.4">
      <c r="A225" s="20">
        <v>1</v>
      </c>
      <c r="B225" s="20">
        <v>227</v>
      </c>
      <c r="C225" s="21">
        <v>60</v>
      </c>
      <c r="D225" s="22" t="s">
        <v>38</v>
      </c>
      <c r="E225" s="22">
        <v>0</v>
      </c>
      <c r="F225" s="22">
        <v>1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3">
        <v>43910.657638888901</v>
      </c>
      <c r="O225" s="23">
        <v>43920</v>
      </c>
      <c r="P225" s="24">
        <f t="shared" si="3"/>
        <v>10.342361111099301</v>
      </c>
      <c r="Q225" s="20" t="s">
        <v>31</v>
      </c>
      <c r="R225" s="20" t="s">
        <v>31</v>
      </c>
      <c r="S225" s="22" t="s">
        <v>32</v>
      </c>
      <c r="T225" s="20">
        <v>10941.56</v>
      </c>
      <c r="U225" s="20" t="s">
        <v>39</v>
      </c>
      <c r="V225" s="25">
        <v>43916.452395833301</v>
      </c>
      <c r="W225" s="20" t="s">
        <v>41</v>
      </c>
      <c r="X225" s="20"/>
      <c r="Y225" s="26">
        <v>71.535555556823994</v>
      </c>
      <c r="Z225" s="22" t="s">
        <v>35</v>
      </c>
      <c r="AA225" s="27">
        <v>1</v>
      </c>
      <c r="AB225" s="27" t="s">
        <v>31</v>
      </c>
      <c r="AC225" s="28">
        <v>1</v>
      </c>
      <c r="AD225" s="28" t="s">
        <v>31</v>
      </c>
    </row>
    <row r="226" spans="1:30" ht="14.55" customHeight="1" x14ac:dyDescent="0.4">
      <c r="A226" s="20">
        <v>1</v>
      </c>
      <c r="B226" s="20">
        <v>228</v>
      </c>
      <c r="C226" s="21">
        <v>60</v>
      </c>
      <c r="D226" s="22" t="s">
        <v>38</v>
      </c>
      <c r="E226" s="22">
        <v>0</v>
      </c>
      <c r="F226" s="22">
        <v>1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3">
        <v>44090.646527777797</v>
      </c>
      <c r="O226" s="23">
        <v>44103</v>
      </c>
      <c r="P226" s="24">
        <f t="shared" si="3"/>
        <v>13.353472222202999</v>
      </c>
      <c r="Q226" s="20" t="s">
        <v>31</v>
      </c>
      <c r="R226" s="20" t="s">
        <v>31</v>
      </c>
      <c r="S226" s="20" t="s">
        <v>32</v>
      </c>
      <c r="T226" s="20">
        <v>24404.74</v>
      </c>
      <c r="U226" s="20" t="s">
        <v>36</v>
      </c>
      <c r="V226" s="25">
        <v>44097.513344907398</v>
      </c>
      <c r="W226" s="20" t="s">
        <v>34</v>
      </c>
      <c r="X226" s="20"/>
      <c r="Y226" s="26">
        <v>262.59388888796099</v>
      </c>
      <c r="Z226" s="22" t="s">
        <v>35</v>
      </c>
      <c r="AA226" s="27" t="s">
        <v>34</v>
      </c>
      <c r="AB226" s="27" t="s">
        <v>31</v>
      </c>
      <c r="AC226" s="28" t="s">
        <v>31</v>
      </c>
      <c r="AD226" s="28" t="s">
        <v>31</v>
      </c>
    </row>
    <row r="227" spans="1:30" ht="14.55" customHeight="1" x14ac:dyDescent="0.4">
      <c r="A227" s="20">
        <v>1</v>
      </c>
      <c r="B227" s="20">
        <v>229</v>
      </c>
      <c r="C227" s="21">
        <v>62</v>
      </c>
      <c r="D227" s="22" t="s">
        <v>38</v>
      </c>
      <c r="E227" s="22">
        <v>0</v>
      </c>
      <c r="F227" s="22">
        <v>1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3">
        <v>43893.585416666698</v>
      </c>
      <c r="O227" s="23">
        <v>43907</v>
      </c>
      <c r="P227" s="24">
        <f t="shared" si="3"/>
        <v>14.4145833333023</v>
      </c>
      <c r="Q227" s="20" t="s">
        <v>31</v>
      </c>
      <c r="R227" s="20" t="s">
        <v>31</v>
      </c>
      <c r="S227" s="22" t="s">
        <v>32</v>
      </c>
      <c r="T227" s="26">
        <v>12182.8</v>
      </c>
      <c r="U227" s="20" t="s">
        <v>39</v>
      </c>
      <c r="V227" s="25">
        <v>43895.477256944403</v>
      </c>
      <c r="W227" s="20" t="s">
        <v>34</v>
      </c>
      <c r="X227" s="20"/>
      <c r="Y227" s="26">
        <v>46.411388889478999</v>
      </c>
      <c r="Z227" s="22" t="s">
        <v>35</v>
      </c>
      <c r="AA227" s="27" t="s">
        <v>34</v>
      </c>
      <c r="AB227" s="27" t="s">
        <v>31</v>
      </c>
      <c r="AC227" s="28" t="s">
        <v>31</v>
      </c>
      <c r="AD227" s="28" t="s">
        <v>31</v>
      </c>
    </row>
    <row r="228" spans="1:30" ht="14.55" customHeight="1" x14ac:dyDescent="0.4">
      <c r="A228" s="20">
        <v>1</v>
      </c>
      <c r="B228" s="20">
        <v>230</v>
      </c>
      <c r="C228" s="21">
        <v>63</v>
      </c>
      <c r="D228" s="22" t="s">
        <v>38</v>
      </c>
      <c r="E228" s="22">
        <v>0</v>
      </c>
      <c r="F228" s="22">
        <v>0</v>
      </c>
      <c r="G228" s="22">
        <v>0</v>
      </c>
      <c r="H228" s="22">
        <v>1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3">
        <v>44867.607638888898</v>
      </c>
      <c r="O228" s="23">
        <v>44872</v>
      </c>
      <c r="P228" s="24">
        <f t="shared" si="3"/>
        <v>5.3923611111022201</v>
      </c>
      <c r="Q228" s="20" t="s">
        <v>31</v>
      </c>
      <c r="R228" s="20" t="s">
        <v>31</v>
      </c>
      <c r="S228" s="20" t="s">
        <v>32</v>
      </c>
      <c r="T228" s="20">
        <v>6955.19</v>
      </c>
      <c r="U228" s="20" t="s">
        <v>36</v>
      </c>
      <c r="V228" s="25">
        <v>44868.568217592598</v>
      </c>
      <c r="W228" s="20" t="s">
        <v>34</v>
      </c>
      <c r="X228" s="20"/>
      <c r="Y228" s="26">
        <v>45.566388888051698</v>
      </c>
      <c r="Z228" s="22" t="s">
        <v>35</v>
      </c>
      <c r="AA228" s="27" t="s">
        <v>34</v>
      </c>
      <c r="AB228" s="27" t="s">
        <v>31</v>
      </c>
      <c r="AC228" s="28" t="s">
        <v>31</v>
      </c>
      <c r="AD228" s="28" t="s">
        <v>31</v>
      </c>
    </row>
    <row r="229" spans="1:30" ht="14.55" customHeight="1" x14ac:dyDescent="0.4">
      <c r="A229" s="20">
        <v>1</v>
      </c>
      <c r="B229" s="20">
        <v>231</v>
      </c>
      <c r="C229" s="21">
        <v>62</v>
      </c>
      <c r="D229" s="22" t="s">
        <v>38</v>
      </c>
      <c r="E229" s="22">
        <v>0</v>
      </c>
      <c r="F229" s="22">
        <v>1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1</v>
      </c>
      <c r="M229" s="22">
        <v>0</v>
      </c>
      <c r="N229" s="23">
        <v>44970.404166666704</v>
      </c>
      <c r="O229" s="23">
        <v>44981</v>
      </c>
      <c r="P229" s="24">
        <f t="shared" si="3"/>
        <v>11.5958333332965</v>
      </c>
      <c r="Q229" s="20" t="s">
        <v>31</v>
      </c>
      <c r="R229" s="20" t="s">
        <v>31</v>
      </c>
      <c r="S229" s="20" t="s">
        <v>32</v>
      </c>
      <c r="T229" s="20">
        <v>12658.97</v>
      </c>
      <c r="U229" s="20" t="s">
        <v>40</v>
      </c>
      <c r="V229" s="25">
        <v>44973.418333333299</v>
      </c>
      <c r="W229" s="20" t="s">
        <v>34</v>
      </c>
      <c r="X229" s="20"/>
      <c r="Y229" s="26">
        <v>50.847500001720597</v>
      </c>
      <c r="Z229" s="22" t="s">
        <v>35</v>
      </c>
      <c r="AA229" s="27" t="s">
        <v>34</v>
      </c>
      <c r="AB229" s="27" t="s">
        <v>31</v>
      </c>
      <c r="AC229" s="28" t="s">
        <v>31</v>
      </c>
      <c r="AD229" s="28" t="s">
        <v>31</v>
      </c>
    </row>
    <row r="230" spans="1:30" ht="14.55" customHeight="1" x14ac:dyDescent="0.4">
      <c r="A230" s="20">
        <v>1</v>
      </c>
      <c r="B230" s="20">
        <v>232</v>
      </c>
      <c r="C230" s="21">
        <v>64</v>
      </c>
      <c r="D230" s="22" t="s">
        <v>38</v>
      </c>
      <c r="E230" s="22">
        <v>0</v>
      </c>
      <c r="F230" s="22">
        <v>1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3">
        <v>44275.636805555601</v>
      </c>
      <c r="O230" s="23">
        <v>44313</v>
      </c>
      <c r="P230" s="24">
        <f t="shared" si="3"/>
        <v>38.363194444398701</v>
      </c>
      <c r="Q230" s="20" t="s">
        <v>31</v>
      </c>
      <c r="R230" s="20" t="s">
        <v>31</v>
      </c>
      <c r="S230" s="20" t="s">
        <v>32</v>
      </c>
      <c r="T230" s="20">
        <v>65879.23</v>
      </c>
      <c r="U230" s="20" t="s">
        <v>36</v>
      </c>
      <c r="V230" s="25">
        <v>44286.487152777801</v>
      </c>
      <c r="W230" s="20" t="s">
        <v>64</v>
      </c>
      <c r="X230" s="20"/>
      <c r="Y230" s="26">
        <v>68.7305555543862</v>
      </c>
      <c r="Z230" s="22" t="s">
        <v>35</v>
      </c>
      <c r="AA230" s="27">
        <v>1</v>
      </c>
      <c r="AB230" s="27" t="s">
        <v>31</v>
      </c>
      <c r="AC230" s="28">
        <v>3</v>
      </c>
      <c r="AD230" s="28" t="s">
        <v>31</v>
      </c>
    </row>
    <row r="231" spans="1:30" ht="14.55" customHeight="1" x14ac:dyDescent="0.4">
      <c r="A231" s="20">
        <v>1</v>
      </c>
      <c r="B231" s="20">
        <v>233</v>
      </c>
      <c r="C231" s="21">
        <v>64</v>
      </c>
      <c r="D231" s="22" t="s">
        <v>38</v>
      </c>
      <c r="E231" s="22">
        <v>1</v>
      </c>
      <c r="F231" s="22">
        <v>1</v>
      </c>
      <c r="G231" s="22">
        <v>0</v>
      </c>
      <c r="H231" s="22">
        <v>1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3">
        <v>44495.609027777798</v>
      </c>
      <c r="O231" s="23">
        <v>44508</v>
      </c>
      <c r="P231" s="24">
        <f t="shared" si="3"/>
        <v>13.3909722222015</v>
      </c>
      <c r="Q231" s="20" t="s">
        <v>31</v>
      </c>
      <c r="R231" s="20" t="s">
        <v>31</v>
      </c>
      <c r="S231" s="20" t="s">
        <v>32</v>
      </c>
      <c r="T231" s="20">
        <v>13844.26</v>
      </c>
      <c r="U231" s="20" t="s">
        <v>36</v>
      </c>
      <c r="V231" s="25">
        <v>44505.706006944398</v>
      </c>
      <c r="W231" s="20" t="s">
        <v>34</v>
      </c>
      <c r="X231" s="20"/>
      <c r="Y231" s="26">
        <v>45.708611112088001</v>
      </c>
      <c r="Z231" s="22" t="s">
        <v>35</v>
      </c>
      <c r="AA231" s="27" t="s">
        <v>34</v>
      </c>
      <c r="AB231" s="27" t="s">
        <v>31</v>
      </c>
      <c r="AC231" s="28" t="s">
        <v>31</v>
      </c>
      <c r="AD231" s="28" t="s">
        <v>31</v>
      </c>
    </row>
    <row r="232" spans="1:30" ht="14.55" customHeight="1" x14ac:dyDescent="0.4">
      <c r="A232" s="20">
        <v>1</v>
      </c>
      <c r="B232" s="20">
        <v>234</v>
      </c>
      <c r="C232" s="21">
        <v>60</v>
      </c>
      <c r="D232" s="22" t="s">
        <v>38</v>
      </c>
      <c r="E232" s="22">
        <v>0</v>
      </c>
      <c r="F232" s="22">
        <v>1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3">
        <v>44816.715277777803</v>
      </c>
      <c r="O232" s="23">
        <v>44821</v>
      </c>
      <c r="P232" s="24">
        <f t="shared" si="3"/>
        <v>5.2847222221971597</v>
      </c>
      <c r="Q232" s="20" t="s">
        <v>31</v>
      </c>
      <c r="R232" s="20" t="s">
        <v>31</v>
      </c>
      <c r="S232" s="20" t="s">
        <v>32</v>
      </c>
      <c r="T232" s="20">
        <v>7359.81</v>
      </c>
      <c r="U232" s="20" t="s">
        <v>36</v>
      </c>
      <c r="V232" s="25">
        <v>44818.438553240703</v>
      </c>
      <c r="W232" s="20" t="s">
        <v>34</v>
      </c>
      <c r="X232" s="20"/>
      <c r="Y232" s="26">
        <v>46.876388889562797</v>
      </c>
      <c r="Z232" s="22" t="s">
        <v>35</v>
      </c>
      <c r="AA232" s="27" t="s">
        <v>34</v>
      </c>
      <c r="AB232" s="27" t="s">
        <v>31</v>
      </c>
      <c r="AC232" s="28" t="s">
        <v>31</v>
      </c>
      <c r="AD232" s="28" t="s">
        <v>31</v>
      </c>
    </row>
    <row r="233" spans="1:30" ht="14.55" customHeight="1" x14ac:dyDescent="0.4">
      <c r="A233" s="20">
        <v>1</v>
      </c>
      <c r="B233" s="20">
        <v>235</v>
      </c>
      <c r="C233" s="21">
        <v>60</v>
      </c>
      <c r="D233" s="22" t="s">
        <v>38</v>
      </c>
      <c r="E233" s="22">
        <v>0</v>
      </c>
      <c r="F233" s="22">
        <v>0</v>
      </c>
      <c r="G233" s="22">
        <v>0</v>
      </c>
      <c r="H233" s="22">
        <v>1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3">
        <v>44020.486111111102</v>
      </c>
      <c r="O233" s="23">
        <v>44032</v>
      </c>
      <c r="P233" s="24">
        <f t="shared" si="3"/>
        <v>12.513888888897799</v>
      </c>
      <c r="Q233" s="20" t="s">
        <v>31</v>
      </c>
      <c r="R233" s="20" t="s">
        <v>31</v>
      </c>
      <c r="S233" s="20" t="s">
        <v>32</v>
      </c>
      <c r="T233" s="20">
        <v>19155.38</v>
      </c>
      <c r="U233" s="22" t="s">
        <v>36</v>
      </c>
      <c r="V233" s="25">
        <v>44026.424965277802</v>
      </c>
      <c r="W233" s="20" t="s">
        <v>53</v>
      </c>
      <c r="X233" s="20"/>
      <c r="Y233" s="26">
        <v>71.574166665610406</v>
      </c>
      <c r="Z233" s="22" t="s">
        <v>35</v>
      </c>
      <c r="AA233" s="27">
        <v>1</v>
      </c>
      <c r="AB233" s="27" t="s">
        <v>31</v>
      </c>
      <c r="AC233" s="28">
        <v>1</v>
      </c>
      <c r="AD233" s="28" t="s">
        <v>31</v>
      </c>
    </row>
    <row r="234" spans="1:30" ht="14.55" customHeight="1" x14ac:dyDescent="0.4">
      <c r="A234" s="20">
        <v>1</v>
      </c>
      <c r="B234" s="20">
        <v>236</v>
      </c>
      <c r="C234" s="21">
        <v>64</v>
      </c>
      <c r="D234" s="22" t="s">
        <v>38</v>
      </c>
      <c r="E234" s="22">
        <v>0</v>
      </c>
      <c r="F234" s="22">
        <v>1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1</v>
      </c>
      <c r="N234" s="23">
        <v>44800.655555555597</v>
      </c>
      <c r="O234" s="23">
        <v>44814</v>
      </c>
      <c r="P234" s="24">
        <f t="shared" si="3"/>
        <v>14.3444444444031</v>
      </c>
      <c r="Q234" s="20" t="s">
        <v>31</v>
      </c>
      <c r="R234" s="20" t="s">
        <v>31</v>
      </c>
      <c r="S234" s="22" t="s">
        <v>32</v>
      </c>
      <c r="T234" s="20">
        <v>77930.649999999994</v>
      </c>
      <c r="U234" s="20" t="s">
        <v>40</v>
      </c>
      <c r="V234" s="25">
        <v>44804.697418981501</v>
      </c>
      <c r="W234" s="20" t="s">
        <v>34</v>
      </c>
      <c r="X234" s="20"/>
      <c r="Y234" s="26">
        <v>41.852499998349202</v>
      </c>
      <c r="Z234" s="22" t="s">
        <v>35</v>
      </c>
      <c r="AA234" s="27" t="s">
        <v>34</v>
      </c>
      <c r="AB234" s="27" t="s">
        <v>31</v>
      </c>
      <c r="AC234" s="28" t="s">
        <v>31</v>
      </c>
      <c r="AD234" s="28" t="s">
        <v>31</v>
      </c>
    </row>
    <row r="235" spans="1:30" ht="14.55" customHeight="1" x14ac:dyDescent="0.4">
      <c r="A235" s="20">
        <v>1</v>
      </c>
      <c r="B235" s="20">
        <v>237</v>
      </c>
      <c r="C235" s="21">
        <v>61</v>
      </c>
      <c r="D235" s="22" t="s">
        <v>38</v>
      </c>
      <c r="E235" s="22">
        <v>0</v>
      </c>
      <c r="F235" s="22">
        <v>1</v>
      </c>
      <c r="G235" s="22">
        <v>0</v>
      </c>
      <c r="H235" s="22">
        <v>1</v>
      </c>
      <c r="I235" s="22">
        <v>0</v>
      </c>
      <c r="J235" s="22">
        <v>0</v>
      </c>
      <c r="K235" s="22">
        <v>1</v>
      </c>
      <c r="L235" s="22">
        <v>0</v>
      </c>
      <c r="M235" s="22">
        <v>0</v>
      </c>
      <c r="N235" s="23">
        <v>44287.502777777801</v>
      </c>
      <c r="O235" s="23">
        <v>44305</v>
      </c>
      <c r="P235" s="24">
        <f t="shared" si="3"/>
        <v>18.497222222198602</v>
      </c>
      <c r="Q235" s="20" t="s">
        <v>31</v>
      </c>
      <c r="R235" s="20" t="s">
        <v>31</v>
      </c>
      <c r="S235" s="22" t="s">
        <v>32</v>
      </c>
      <c r="T235" s="20">
        <v>53334.38</v>
      </c>
      <c r="U235" s="20" t="s">
        <v>40</v>
      </c>
      <c r="V235" s="25">
        <v>44295.562268518501</v>
      </c>
      <c r="W235" s="20" t="s">
        <v>34</v>
      </c>
      <c r="X235" s="20"/>
      <c r="Y235" s="26">
        <v>1462.25750000164</v>
      </c>
      <c r="Z235" s="22" t="s">
        <v>35</v>
      </c>
      <c r="AA235" s="27" t="s">
        <v>34</v>
      </c>
      <c r="AB235" s="27" t="s">
        <v>31</v>
      </c>
      <c r="AC235" s="28" t="s">
        <v>31</v>
      </c>
      <c r="AD235" s="28" t="s">
        <v>31</v>
      </c>
    </row>
    <row r="236" spans="1:30" ht="14.55" customHeight="1" x14ac:dyDescent="0.4">
      <c r="A236" s="20">
        <v>1</v>
      </c>
      <c r="B236" s="20">
        <v>238</v>
      </c>
      <c r="C236" s="21">
        <v>64</v>
      </c>
      <c r="D236" s="22" t="s">
        <v>38</v>
      </c>
      <c r="E236" s="22">
        <v>0</v>
      </c>
      <c r="F236" s="22">
        <v>1</v>
      </c>
      <c r="G236" s="22">
        <v>1</v>
      </c>
      <c r="H236" s="22">
        <v>0</v>
      </c>
      <c r="I236" s="22">
        <v>0</v>
      </c>
      <c r="J236" s="22">
        <v>1</v>
      </c>
      <c r="K236" s="22">
        <v>0</v>
      </c>
      <c r="L236" s="22">
        <v>0</v>
      </c>
      <c r="M236" s="22">
        <v>0</v>
      </c>
      <c r="N236" s="23">
        <v>44979.644444444399</v>
      </c>
      <c r="O236" s="23">
        <v>44987</v>
      </c>
      <c r="P236" s="24">
        <f t="shared" si="3"/>
        <v>8.3555555556013097</v>
      </c>
      <c r="Q236" s="20" t="s">
        <v>31</v>
      </c>
      <c r="R236" s="20" t="s">
        <v>31</v>
      </c>
      <c r="S236" s="20" t="s">
        <v>32</v>
      </c>
      <c r="T236" s="20">
        <v>12278.44</v>
      </c>
      <c r="U236" s="20" t="s">
        <v>36</v>
      </c>
      <c r="V236" s="25">
        <v>44981.620069444398</v>
      </c>
      <c r="W236" s="20" t="s">
        <v>34</v>
      </c>
      <c r="X236" s="20"/>
      <c r="Y236" s="26">
        <v>43.2397222224972</v>
      </c>
      <c r="Z236" s="22" t="s">
        <v>35</v>
      </c>
      <c r="AA236" s="27" t="s">
        <v>34</v>
      </c>
      <c r="AB236" s="27" t="s">
        <v>31</v>
      </c>
      <c r="AC236" s="28" t="s">
        <v>31</v>
      </c>
      <c r="AD236" s="28" t="s">
        <v>31</v>
      </c>
    </row>
    <row r="237" spans="1:30" ht="14.55" customHeight="1" x14ac:dyDescent="0.4">
      <c r="A237" s="20">
        <v>1</v>
      </c>
      <c r="B237" s="20">
        <v>239</v>
      </c>
      <c r="C237" s="21">
        <v>64</v>
      </c>
      <c r="D237" s="22" t="s">
        <v>38</v>
      </c>
      <c r="E237" s="22">
        <v>0</v>
      </c>
      <c r="F237" s="22">
        <v>0</v>
      </c>
      <c r="G237" s="22">
        <v>1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3">
        <v>44109.5847222222</v>
      </c>
      <c r="O237" s="23">
        <v>44120</v>
      </c>
      <c r="P237" s="24">
        <f t="shared" si="3"/>
        <v>11.415277777799901</v>
      </c>
      <c r="Q237" s="20" t="s">
        <v>31</v>
      </c>
      <c r="R237" s="20" t="s">
        <v>31</v>
      </c>
      <c r="S237" s="22" t="s">
        <v>32</v>
      </c>
      <c r="T237" s="20">
        <v>15047.71</v>
      </c>
      <c r="U237" s="20" t="s">
        <v>36</v>
      </c>
      <c r="V237" s="25">
        <v>44119.406192129602</v>
      </c>
      <c r="W237" s="20" t="s">
        <v>34</v>
      </c>
      <c r="X237" s="20"/>
      <c r="Y237" s="26">
        <v>265.66694444400503</v>
      </c>
      <c r="Z237" s="22" t="s">
        <v>35</v>
      </c>
      <c r="AA237" s="27" t="s">
        <v>34</v>
      </c>
      <c r="AB237" s="27" t="s">
        <v>31</v>
      </c>
      <c r="AC237" s="28" t="s">
        <v>31</v>
      </c>
      <c r="AD237" s="28" t="s">
        <v>31</v>
      </c>
    </row>
    <row r="238" spans="1:30" ht="14.55" customHeight="1" x14ac:dyDescent="0.4">
      <c r="A238" s="20">
        <v>1</v>
      </c>
      <c r="B238" s="20">
        <v>240</v>
      </c>
      <c r="C238" s="21">
        <v>67</v>
      </c>
      <c r="D238" s="22" t="s">
        <v>38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1</v>
      </c>
      <c r="N238" s="23">
        <v>44776.662499999999</v>
      </c>
      <c r="O238" s="23">
        <v>44782</v>
      </c>
      <c r="P238" s="24">
        <f t="shared" si="3"/>
        <v>6.3375000000014596</v>
      </c>
      <c r="Q238" s="20" t="s">
        <v>31</v>
      </c>
      <c r="R238" s="20" t="s">
        <v>31</v>
      </c>
      <c r="S238" s="22" t="s">
        <v>32</v>
      </c>
      <c r="T238" s="20">
        <v>5305.95</v>
      </c>
      <c r="U238" s="20" t="s">
        <v>36</v>
      </c>
      <c r="V238" s="25">
        <v>44778.427060185197</v>
      </c>
      <c r="W238" s="20" t="s">
        <v>34</v>
      </c>
      <c r="X238" s="20"/>
      <c r="Y238" s="26">
        <v>48.171944443252897</v>
      </c>
      <c r="Z238" s="22" t="s">
        <v>35</v>
      </c>
      <c r="AA238" s="27" t="s">
        <v>34</v>
      </c>
      <c r="AB238" s="27" t="s">
        <v>31</v>
      </c>
      <c r="AC238" s="28" t="s">
        <v>31</v>
      </c>
      <c r="AD238" s="28" t="s">
        <v>31</v>
      </c>
    </row>
    <row r="239" spans="1:30" ht="14.55" customHeight="1" x14ac:dyDescent="0.4">
      <c r="A239" s="20">
        <v>1</v>
      </c>
      <c r="B239" s="20">
        <v>241</v>
      </c>
      <c r="C239" s="21">
        <v>66</v>
      </c>
      <c r="D239" s="22" t="s">
        <v>38</v>
      </c>
      <c r="E239" s="22">
        <v>0</v>
      </c>
      <c r="F239" s="22">
        <v>1</v>
      </c>
      <c r="G239" s="22">
        <v>1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3">
        <v>44120.595833333296</v>
      </c>
      <c r="O239" s="23">
        <v>44127</v>
      </c>
      <c r="P239" s="24">
        <f t="shared" si="3"/>
        <v>7.4041666667035297</v>
      </c>
      <c r="Q239" s="20" t="s">
        <v>31</v>
      </c>
      <c r="R239" s="20" t="s">
        <v>31</v>
      </c>
      <c r="S239" s="20" t="s">
        <v>32</v>
      </c>
      <c r="T239" s="20">
        <v>8616.66</v>
      </c>
      <c r="U239" s="20" t="s">
        <v>39</v>
      </c>
      <c r="V239" s="25">
        <v>44125.495532407404</v>
      </c>
      <c r="W239" s="20" t="s">
        <v>34</v>
      </c>
      <c r="X239" s="20"/>
      <c r="Y239" s="26">
        <v>213.426666667045</v>
      </c>
      <c r="Z239" s="22" t="s">
        <v>35</v>
      </c>
      <c r="AA239" s="27" t="s">
        <v>34</v>
      </c>
      <c r="AB239" s="27" t="s">
        <v>31</v>
      </c>
      <c r="AC239" s="28" t="s">
        <v>31</v>
      </c>
      <c r="AD239" s="28" t="s">
        <v>31</v>
      </c>
    </row>
    <row r="240" spans="1:30" ht="14.55" customHeight="1" x14ac:dyDescent="0.4">
      <c r="A240" s="20">
        <v>1</v>
      </c>
      <c r="B240" s="20">
        <v>242</v>
      </c>
      <c r="C240" s="21">
        <v>68</v>
      </c>
      <c r="D240" s="22" t="s">
        <v>38</v>
      </c>
      <c r="E240" s="22">
        <v>0</v>
      </c>
      <c r="F240" s="22">
        <v>1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3">
        <v>44344.655555555597</v>
      </c>
      <c r="O240" s="23">
        <v>44355</v>
      </c>
      <c r="P240" s="24">
        <f t="shared" si="3"/>
        <v>11.3444444444031</v>
      </c>
      <c r="Q240" s="20" t="s">
        <v>31</v>
      </c>
      <c r="R240" s="20" t="s">
        <v>31</v>
      </c>
      <c r="S240" s="22" t="s">
        <v>32</v>
      </c>
      <c r="T240" s="26">
        <v>9894.4</v>
      </c>
      <c r="U240" s="20" t="s">
        <v>39</v>
      </c>
      <c r="V240" s="25">
        <v>44347.7000694444</v>
      </c>
      <c r="W240" s="20" t="s">
        <v>34</v>
      </c>
      <c r="X240" s="20"/>
      <c r="Y240" s="26">
        <v>42.666111112805098</v>
      </c>
      <c r="Z240" s="22" t="s">
        <v>35</v>
      </c>
      <c r="AA240" s="27" t="s">
        <v>34</v>
      </c>
      <c r="AB240" s="27" t="s">
        <v>31</v>
      </c>
      <c r="AC240" s="28" t="s">
        <v>31</v>
      </c>
      <c r="AD240" s="28" t="s">
        <v>31</v>
      </c>
    </row>
    <row r="241" spans="1:30" ht="14.55" customHeight="1" x14ac:dyDescent="0.4">
      <c r="A241" s="20">
        <v>1</v>
      </c>
      <c r="B241" s="20">
        <v>243</v>
      </c>
      <c r="C241" s="21">
        <v>65</v>
      </c>
      <c r="D241" s="22" t="s">
        <v>38</v>
      </c>
      <c r="E241" s="22">
        <v>0</v>
      </c>
      <c r="F241" s="22">
        <v>1</v>
      </c>
      <c r="G241" s="22">
        <v>1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3">
        <v>44049.671527777798</v>
      </c>
      <c r="O241" s="23">
        <v>44071</v>
      </c>
      <c r="P241" s="24">
        <f t="shared" si="3"/>
        <v>22.328472222201501</v>
      </c>
      <c r="Q241" s="20" t="s">
        <v>31</v>
      </c>
      <c r="R241" s="20" t="s">
        <v>31</v>
      </c>
      <c r="S241" s="22" t="s">
        <v>32</v>
      </c>
      <c r="T241" s="20">
        <v>19988.14</v>
      </c>
      <c r="U241" s="20" t="s">
        <v>39</v>
      </c>
      <c r="V241" s="25">
        <v>44054.445995370399</v>
      </c>
      <c r="W241" s="20" t="s">
        <v>34</v>
      </c>
      <c r="X241" s="20"/>
      <c r="Y241" s="26">
        <v>239.17277777753799</v>
      </c>
      <c r="Z241" s="22" t="s">
        <v>35</v>
      </c>
      <c r="AA241" s="27" t="s">
        <v>34</v>
      </c>
      <c r="AB241" s="27" t="s">
        <v>31</v>
      </c>
      <c r="AC241" s="28" t="s">
        <v>31</v>
      </c>
      <c r="AD241" s="28" t="s">
        <v>31</v>
      </c>
    </row>
    <row r="242" spans="1:30" ht="14.55" customHeight="1" x14ac:dyDescent="0.4">
      <c r="A242" s="20">
        <v>1</v>
      </c>
      <c r="B242" s="20">
        <v>244</v>
      </c>
      <c r="C242" s="21">
        <v>66</v>
      </c>
      <c r="D242" s="22" t="s">
        <v>38</v>
      </c>
      <c r="E242" s="22">
        <v>0</v>
      </c>
      <c r="F242" s="22">
        <v>1</v>
      </c>
      <c r="G242" s="22">
        <v>0</v>
      </c>
      <c r="H242" s="22">
        <v>1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3">
        <v>44355.660416666702</v>
      </c>
      <c r="O242" s="23">
        <v>44372</v>
      </c>
      <c r="P242" s="24">
        <f t="shared" si="3"/>
        <v>17.339583333297899</v>
      </c>
      <c r="Q242" s="20" t="s">
        <v>31</v>
      </c>
      <c r="R242" s="20" t="s">
        <v>31</v>
      </c>
      <c r="S242" s="20" t="s">
        <v>32</v>
      </c>
      <c r="T242" s="20">
        <v>19750.73</v>
      </c>
      <c r="U242" s="20" t="s">
        <v>36</v>
      </c>
      <c r="V242" s="25">
        <v>44369.643136574101</v>
      </c>
      <c r="W242" s="20" t="s">
        <v>34</v>
      </c>
      <c r="X242" s="20"/>
      <c r="Y242" s="26">
        <v>43.761666667240199</v>
      </c>
      <c r="Z242" s="22" t="s">
        <v>35</v>
      </c>
      <c r="AA242" s="27" t="s">
        <v>34</v>
      </c>
      <c r="AB242" s="27" t="s">
        <v>31</v>
      </c>
      <c r="AC242" s="28" t="s">
        <v>31</v>
      </c>
      <c r="AD242" s="28" t="s">
        <v>31</v>
      </c>
    </row>
    <row r="243" spans="1:30" ht="14.55" customHeight="1" x14ac:dyDescent="0.4">
      <c r="A243" s="20">
        <v>1</v>
      </c>
      <c r="B243" s="20">
        <v>245</v>
      </c>
      <c r="C243" s="21">
        <v>66</v>
      </c>
      <c r="D243" s="22" t="s">
        <v>38</v>
      </c>
      <c r="E243" s="22">
        <v>0</v>
      </c>
      <c r="F243" s="22">
        <v>1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3">
        <v>44959.59375</v>
      </c>
      <c r="O243" s="23">
        <v>44971</v>
      </c>
      <c r="P243" s="24">
        <f t="shared" si="3"/>
        <v>12.40625</v>
      </c>
      <c r="Q243" s="20" t="s">
        <v>31</v>
      </c>
      <c r="R243" s="20" t="s">
        <v>31</v>
      </c>
      <c r="S243" s="22" t="s">
        <v>32</v>
      </c>
      <c r="T243" s="20">
        <v>8179.61</v>
      </c>
      <c r="U243" s="22" t="s">
        <v>36</v>
      </c>
      <c r="V243" s="25">
        <v>44970.501631944397</v>
      </c>
      <c r="W243" s="20" t="s">
        <v>34</v>
      </c>
      <c r="X243" s="20"/>
      <c r="Y243" s="26">
        <v>46.998055557603898</v>
      </c>
      <c r="Z243" s="22" t="s">
        <v>35</v>
      </c>
      <c r="AA243" s="27" t="s">
        <v>34</v>
      </c>
      <c r="AB243" s="27" t="s">
        <v>31</v>
      </c>
      <c r="AC243" s="28" t="s">
        <v>31</v>
      </c>
      <c r="AD243" s="28" t="s">
        <v>31</v>
      </c>
    </row>
    <row r="244" spans="1:30" ht="14.55" customHeight="1" x14ac:dyDescent="0.4">
      <c r="A244" s="20">
        <v>1</v>
      </c>
      <c r="B244" s="20">
        <v>246</v>
      </c>
      <c r="C244" s="21">
        <v>66</v>
      </c>
      <c r="D244" s="22" t="s">
        <v>38</v>
      </c>
      <c r="E244" s="22">
        <v>1</v>
      </c>
      <c r="F244" s="22">
        <v>1</v>
      </c>
      <c r="G244" s="22">
        <v>0</v>
      </c>
      <c r="H244" s="22">
        <v>1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3">
        <v>44743.007638888899</v>
      </c>
      <c r="O244" s="23">
        <v>44754</v>
      </c>
      <c r="P244" s="24">
        <f t="shared" si="3"/>
        <v>11.9923611111008</v>
      </c>
      <c r="Q244" s="20" t="s">
        <v>31</v>
      </c>
      <c r="R244" s="20" t="s">
        <v>31</v>
      </c>
      <c r="S244" s="20" t="s">
        <v>32</v>
      </c>
      <c r="T244" s="20">
        <v>91072.13</v>
      </c>
      <c r="U244" s="20" t="s">
        <v>36</v>
      </c>
      <c r="V244" s="25">
        <v>44744.465740740699</v>
      </c>
      <c r="W244" s="20" t="s">
        <v>34</v>
      </c>
      <c r="X244" s="20"/>
      <c r="Y244" s="26">
        <v>47.2491666671704</v>
      </c>
      <c r="Z244" s="22" t="s">
        <v>35</v>
      </c>
      <c r="AA244" s="27" t="s">
        <v>34</v>
      </c>
      <c r="AB244" s="27" t="s">
        <v>31</v>
      </c>
      <c r="AC244" s="28" t="s">
        <v>31</v>
      </c>
      <c r="AD244" s="28" t="s">
        <v>31</v>
      </c>
    </row>
    <row r="245" spans="1:30" ht="14.55" customHeight="1" x14ac:dyDescent="0.4">
      <c r="A245" s="20">
        <v>1</v>
      </c>
      <c r="B245" s="20">
        <v>247</v>
      </c>
      <c r="C245" s="21">
        <v>68</v>
      </c>
      <c r="D245" s="22" t="s">
        <v>38</v>
      </c>
      <c r="E245" s="22">
        <v>0</v>
      </c>
      <c r="F245" s="22">
        <v>0</v>
      </c>
      <c r="G245" s="22">
        <v>0</v>
      </c>
      <c r="H245" s="22">
        <v>1</v>
      </c>
      <c r="I245" s="22">
        <v>1</v>
      </c>
      <c r="J245" s="22">
        <v>0</v>
      </c>
      <c r="K245" s="22">
        <v>1</v>
      </c>
      <c r="L245" s="22">
        <v>0</v>
      </c>
      <c r="M245" s="22">
        <v>0</v>
      </c>
      <c r="N245" s="23">
        <v>44883.4777777778</v>
      </c>
      <c r="O245" s="23">
        <v>44907</v>
      </c>
      <c r="P245" s="24">
        <f t="shared" si="3"/>
        <v>24.522222222200099</v>
      </c>
      <c r="Q245" s="20" t="s">
        <v>31</v>
      </c>
      <c r="R245" s="20" t="s">
        <v>31</v>
      </c>
      <c r="S245" s="20" t="s">
        <v>32</v>
      </c>
      <c r="T245" s="20">
        <v>85515.13</v>
      </c>
      <c r="U245" s="20" t="s">
        <v>36</v>
      </c>
      <c r="V245" s="25">
        <v>44889.494745370401</v>
      </c>
      <c r="W245" s="20" t="s">
        <v>34</v>
      </c>
      <c r="X245" s="20"/>
      <c r="Y245" s="26">
        <v>48.811111111252103</v>
      </c>
      <c r="Z245" s="22" t="s">
        <v>35</v>
      </c>
      <c r="AA245" s="27" t="s">
        <v>34</v>
      </c>
      <c r="AB245" s="27" t="s">
        <v>31</v>
      </c>
      <c r="AC245" s="28" t="s">
        <v>31</v>
      </c>
      <c r="AD245" s="28" t="s">
        <v>31</v>
      </c>
    </row>
    <row r="246" spans="1:30" ht="14.55" customHeight="1" x14ac:dyDescent="0.4">
      <c r="A246" s="20">
        <v>1</v>
      </c>
      <c r="B246" s="20">
        <v>248</v>
      </c>
      <c r="C246" s="21">
        <v>67</v>
      </c>
      <c r="D246" s="22" t="s">
        <v>38</v>
      </c>
      <c r="E246" s="22">
        <v>1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3">
        <v>44244.593055555597</v>
      </c>
      <c r="O246" s="23">
        <v>44250</v>
      </c>
      <c r="P246" s="24">
        <f t="shared" si="3"/>
        <v>6.4069444444030497</v>
      </c>
      <c r="Q246" s="20" t="s">
        <v>31</v>
      </c>
      <c r="R246" s="20" t="s">
        <v>31</v>
      </c>
      <c r="S246" s="22" t="s">
        <v>32</v>
      </c>
      <c r="T246" s="26">
        <v>9446</v>
      </c>
      <c r="U246" s="20" t="s">
        <v>39</v>
      </c>
      <c r="V246" s="25">
        <v>44247.550868055601</v>
      </c>
      <c r="W246" s="20" t="s">
        <v>34</v>
      </c>
      <c r="X246" s="20"/>
      <c r="Y246" s="26">
        <v>43.971666664816397</v>
      </c>
      <c r="Z246" s="22" t="s">
        <v>35</v>
      </c>
      <c r="AA246" s="27" t="s">
        <v>34</v>
      </c>
      <c r="AB246" s="27" t="s">
        <v>31</v>
      </c>
      <c r="AC246" s="28" t="s">
        <v>31</v>
      </c>
      <c r="AD246" s="28" t="s">
        <v>31</v>
      </c>
    </row>
    <row r="247" spans="1:30" ht="14.55" customHeight="1" x14ac:dyDescent="0.4">
      <c r="A247" s="20">
        <v>1</v>
      </c>
      <c r="B247" s="20">
        <v>249</v>
      </c>
      <c r="C247" s="21">
        <v>67</v>
      </c>
      <c r="D247" s="22" t="s">
        <v>38</v>
      </c>
      <c r="E247" s="22">
        <v>0</v>
      </c>
      <c r="F247" s="22">
        <v>1</v>
      </c>
      <c r="G247" s="22">
        <v>0</v>
      </c>
      <c r="H247" s="22">
        <v>1</v>
      </c>
      <c r="I247" s="22">
        <v>1</v>
      </c>
      <c r="J247" s="22">
        <v>0</v>
      </c>
      <c r="K247" s="22">
        <v>1</v>
      </c>
      <c r="L247" s="22">
        <v>0</v>
      </c>
      <c r="M247" s="22">
        <v>0</v>
      </c>
      <c r="N247" s="23">
        <v>44522.667361111096</v>
      </c>
      <c r="O247" s="23">
        <v>44551</v>
      </c>
      <c r="P247" s="24">
        <f t="shared" si="3"/>
        <v>29.332638888903599</v>
      </c>
      <c r="Q247" s="20" t="s">
        <v>31</v>
      </c>
      <c r="R247" s="20" t="s">
        <v>31</v>
      </c>
      <c r="S247" s="20" t="s">
        <v>32</v>
      </c>
      <c r="T247" s="20">
        <v>392714.25</v>
      </c>
      <c r="U247" s="20" t="s">
        <v>36</v>
      </c>
      <c r="V247" s="25">
        <v>44527.644571759301</v>
      </c>
      <c r="W247" s="20" t="s">
        <v>34</v>
      </c>
      <c r="X247" s="20"/>
      <c r="Y247" s="26">
        <v>42.866388887981898</v>
      </c>
      <c r="Z247" s="22" t="s">
        <v>35</v>
      </c>
      <c r="AA247" s="27" t="s">
        <v>34</v>
      </c>
      <c r="AB247" s="27" t="s">
        <v>31</v>
      </c>
      <c r="AC247" s="28" t="s">
        <v>31</v>
      </c>
      <c r="AD247" s="28" t="s">
        <v>31</v>
      </c>
    </row>
    <row r="248" spans="1:30" ht="14.55" customHeight="1" x14ac:dyDescent="0.4">
      <c r="A248" s="20">
        <v>1</v>
      </c>
      <c r="B248" s="20">
        <v>250</v>
      </c>
      <c r="C248" s="21">
        <v>65</v>
      </c>
      <c r="D248" s="22" t="s">
        <v>38</v>
      </c>
      <c r="E248" s="22">
        <v>0</v>
      </c>
      <c r="F248" s="22">
        <v>1</v>
      </c>
      <c r="G248" s="22">
        <v>0</v>
      </c>
      <c r="H248" s="22">
        <v>1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3">
        <v>44970.594444444403</v>
      </c>
      <c r="O248" s="23">
        <v>44973</v>
      </c>
      <c r="P248" s="24">
        <f t="shared" si="3"/>
        <v>3.4055555555969499</v>
      </c>
      <c r="Q248" s="20" t="s">
        <v>31</v>
      </c>
      <c r="R248" s="20" t="s">
        <v>31</v>
      </c>
      <c r="S248" s="22" t="s">
        <v>32</v>
      </c>
      <c r="T248" s="20">
        <v>5537.75</v>
      </c>
      <c r="U248" s="20" t="s">
        <v>36</v>
      </c>
      <c r="V248" s="25">
        <v>44972.7046064815</v>
      </c>
      <c r="W248" s="20" t="s">
        <v>34</v>
      </c>
      <c r="X248" s="20"/>
      <c r="Y248" s="26">
        <v>42.509166667121498</v>
      </c>
      <c r="Z248" s="22" t="s">
        <v>35</v>
      </c>
      <c r="AA248" s="27" t="s">
        <v>34</v>
      </c>
      <c r="AB248" s="27" t="s">
        <v>31</v>
      </c>
      <c r="AC248" s="28" t="s">
        <v>31</v>
      </c>
      <c r="AD248" s="28" t="s">
        <v>31</v>
      </c>
    </row>
    <row r="249" spans="1:30" ht="14.55" customHeight="1" x14ac:dyDescent="0.4">
      <c r="A249" s="20">
        <v>1</v>
      </c>
      <c r="B249" s="20">
        <v>251</v>
      </c>
      <c r="C249" s="21">
        <v>66</v>
      </c>
      <c r="D249" s="22" t="s">
        <v>38</v>
      </c>
      <c r="E249" s="22">
        <v>0</v>
      </c>
      <c r="F249" s="22">
        <v>1</v>
      </c>
      <c r="G249" s="22">
        <v>0</v>
      </c>
      <c r="H249" s="22">
        <v>1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3">
        <v>44146.617361111101</v>
      </c>
      <c r="O249" s="23">
        <v>44154</v>
      </c>
      <c r="P249" s="24">
        <f t="shared" si="3"/>
        <v>8.3826388888992405</v>
      </c>
      <c r="Q249" s="20" t="s">
        <v>31</v>
      </c>
      <c r="R249" s="20" t="s">
        <v>31</v>
      </c>
      <c r="S249" s="20" t="s">
        <v>32</v>
      </c>
      <c r="T249" s="20">
        <v>17448.759999999998</v>
      </c>
      <c r="U249" s="20" t="s">
        <v>40</v>
      </c>
      <c r="V249" s="25">
        <v>44152.639745370398</v>
      </c>
      <c r="W249" s="20" t="s">
        <v>34</v>
      </c>
      <c r="X249" s="20"/>
      <c r="Y249" s="26">
        <v>42.104166664823403</v>
      </c>
      <c r="Z249" s="22" t="s">
        <v>35</v>
      </c>
      <c r="AA249" s="27" t="s">
        <v>34</v>
      </c>
      <c r="AB249" s="27" t="s">
        <v>31</v>
      </c>
      <c r="AC249" s="28" t="s">
        <v>31</v>
      </c>
      <c r="AD249" s="28" t="s">
        <v>31</v>
      </c>
    </row>
    <row r="250" spans="1:30" ht="14.55" customHeight="1" x14ac:dyDescent="0.4">
      <c r="A250" s="20">
        <v>1</v>
      </c>
      <c r="B250" s="20">
        <v>252</v>
      </c>
      <c r="C250" s="21">
        <v>67</v>
      </c>
      <c r="D250" s="22" t="s">
        <v>38</v>
      </c>
      <c r="E250" s="22">
        <v>0</v>
      </c>
      <c r="F250" s="22">
        <v>0</v>
      </c>
      <c r="G250" s="22">
        <v>1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3">
        <v>44807.625</v>
      </c>
      <c r="O250" s="23">
        <v>44825</v>
      </c>
      <c r="P250" s="24">
        <f t="shared" si="3"/>
        <v>18.375</v>
      </c>
      <c r="Q250" s="20" t="s">
        <v>31</v>
      </c>
      <c r="R250" s="20" t="s">
        <v>31</v>
      </c>
      <c r="S250" s="20" t="s">
        <v>32</v>
      </c>
      <c r="T250" s="20">
        <v>36873.910000000003</v>
      </c>
      <c r="U250" s="20" t="s">
        <v>36</v>
      </c>
      <c r="V250" s="25">
        <v>44818.542280092603</v>
      </c>
      <c r="W250" s="20" t="s">
        <v>34</v>
      </c>
      <c r="X250" s="20"/>
      <c r="Y250" s="26">
        <v>44.386944443977001</v>
      </c>
      <c r="Z250" s="22" t="s">
        <v>35</v>
      </c>
      <c r="AA250" s="27" t="s">
        <v>34</v>
      </c>
      <c r="AB250" s="27" t="s">
        <v>31</v>
      </c>
      <c r="AC250" s="28" t="s">
        <v>31</v>
      </c>
      <c r="AD250" s="28" t="s">
        <v>31</v>
      </c>
    </row>
    <row r="251" spans="1:30" ht="14.55" customHeight="1" x14ac:dyDescent="0.4">
      <c r="A251" s="20">
        <v>1</v>
      </c>
      <c r="B251" s="20">
        <v>253</v>
      </c>
      <c r="C251" s="21">
        <v>67</v>
      </c>
      <c r="D251" s="22" t="s">
        <v>38</v>
      </c>
      <c r="E251" s="22">
        <v>0</v>
      </c>
      <c r="F251" s="22">
        <v>1</v>
      </c>
      <c r="G251" s="22">
        <v>0</v>
      </c>
      <c r="H251" s="22">
        <v>1</v>
      </c>
      <c r="I251" s="22">
        <v>0</v>
      </c>
      <c r="J251" s="22">
        <v>0</v>
      </c>
      <c r="K251" s="22">
        <v>1</v>
      </c>
      <c r="L251" s="22">
        <v>0</v>
      </c>
      <c r="M251" s="22">
        <v>0</v>
      </c>
      <c r="N251" s="23">
        <v>44454.570138888899</v>
      </c>
      <c r="O251" s="23">
        <v>44463</v>
      </c>
      <c r="P251" s="24">
        <f t="shared" si="3"/>
        <v>9.4298611111007595</v>
      </c>
      <c r="Q251" s="20" t="s">
        <v>31</v>
      </c>
      <c r="R251" s="20" t="s">
        <v>31</v>
      </c>
      <c r="S251" s="20" t="s">
        <v>32</v>
      </c>
      <c r="T251" s="20">
        <v>8951.89</v>
      </c>
      <c r="U251" s="20" t="s">
        <v>36</v>
      </c>
      <c r="V251" s="25">
        <v>44461.6386458333</v>
      </c>
      <c r="W251" s="20" t="s">
        <v>34</v>
      </c>
      <c r="X251" s="20"/>
      <c r="Y251" s="26">
        <v>43.538333335134702</v>
      </c>
      <c r="Z251" s="22" t="s">
        <v>35</v>
      </c>
      <c r="AA251" s="27" t="s">
        <v>34</v>
      </c>
      <c r="AB251" s="27" t="s">
        <v>31</v>
      </c>
      <c r="AC251" s="28" t="s">
        <v>31</v>
      </c>
      <c r="AD251" s="28" t="s">
        <v>31</v>
      </c>
    </row>
    <row r="252" spans="1:30" ht="14.55" customHeight="1" x14ac:dyDescent="0.4">
      <c r="A252" s="20">
        <v>1</v>
      </c>
      <c r="B252" s="20">
        <v>254</v>
      </c>
      <c r="C252" s="21">
        <v>65</v>
      </c>
      <c r="D252" s="22" t="s">
        <v>38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1</v>
      </c>
      <c r="M252" s="22">
        <v>0</v>
      </c>
      <c r="N252" s="23">
        <v>44013.591666666704</v>
      </c>
      <c r="O252" s="23">
        <v>44026</v>
      </c>
      <c r="P252" s="24">
        <f t="shared" si="3"/>
        <v>13.4083333332965</v>
      </c>
      <c r="Q252" s="20" t="s">
        <v>31</v>
      </c>
      <c r="R252" s="20" t="s">
        <v>31</v>
      </c>
      <c r="S252" s="20" t="s">
        <v>32</v>
      </c>
      <c r="T252" s="20">
        <v>15018.59</v>
      </c>
      <c r="U252" s="20" t="s">
        <v>36</v>
      </c>
      <c r="V252" s="25">
        <v>44018.519016203703</v>
      </c>
      <c r="W252" s="20" t="s">
        <v>34</v>
      </c>
      <c r="X252" s="20"/>
      <c r="Y252" s="26">
        <v>238.84805555519401</v>
      </c>
      <c r="Z252" s="22" t="s">
        <v>35</v>
      </c>
      <c r="AA252" s="27" t="s">
        <v>34</v>
      </c>
      <c r="AB252" s="27" t="s">
        <v>31</v>
      </c>
      <c r="AC252" s="28" t="s">
        <v>31</v>
      </c>
      <c r="AD252" s="28" t="s">
        <v>31</v>
      </c>
    </row>
    <row r="253" spans="1:30" ht="14.55" customHeight="1" x14ac:dyDescent="0.4">
      <c r="A253" s="20">
        <v>1</v>
      </c>
      <c r="B253" s="20">
        <v>255</v>
      </c>
      <c r="C253" s="21">
        <v>66</v>
      </c>
      <c r="D253" s="22" t="s">
        <v>38</v>
      </c>
      <c r="E253" s="22">
        <v>0</v>
      </c>
      <c r="F253" s="22">
        <v>1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3">
        <v>44412.442361111098</v>
      </c>
      <c r="O253" s="23">
        <v>44422</v>
      </c>
      <c r="P253" s="24">
        <f t="shared" si="3"/>
        <v>10.557638888902099</v>
      </c>
      <c r="Q253" s="20" t="s">
        <v>31</v>
      </c>
      <c r="R253" s="20" t="s">
        <v>31</v>
      </c>
      <c r="S253" s="20" t="s">
        <v>32</v>
      </c>
      <c r="T253" s="20">
        <v>38696.07</v>
      </c>
      <c r="U253" s="22" t="s">
        <v>36</v>
      </c>
      <c r="V253" s="25">
        <v>44417.552662037</v>
      </c>
      <c r="W253" s="20" t="s">
        <v>43</v>
      </c>
      <c r="X253" s="20"/>
      <c r="Y253" s="26">
        <v>170.977777778346</v>
      </c>
      <c r="Z253" s="22" t="s">
        <v>35</v>
      </c>
      <c r="AA253" s="27">
        <v>1</v>
      </c>
      <c r="AB253" s="27" t="s">
        <v>31</v>
      </c>
      <c r="AC253" s="28">
        <v>1</v>
      </c>
      <c r="AD253" s="28" t="s">
        <v>31</v>
      </c>
    </row>
    <row r="254" spans="1:30" ht="14.55" customHeight="1" x14ac:dyDescent="0.4">
      <c r="A254" s="20">
        <v>1</v>
      </c>
      <c r="B254" s="20">
        <v>256</v>
      </c>
      <c r="C254" s="21">
        <v>67</v>
      </c>
      <c r="D254" s="22" t="s">
        <v>38</v>
      </c>
      <c r="E254" s="22">
        <v>0</v>
      </c>
      <c r="F254" s="22">
        <v>1</v>
      </c>
      <c r="G254" s="22">
        <v>0</v>
      </c>
      <c r="H254" s="22">
        <v>1</v>
      </c>
      <c r="I254" s="22">
        <v>1</v>
      </c>
      <c r="J254" s="22">
        <v>0</v>
      </c>
      <c r="K254" s="22">
        <v>1</v>
      </c>
      <c r="L254" s="22">
        <v>0</v>
      </c>
      <c r="M254" s="22">
        <v>0</v>
      </c>
      <c r="N254" s="23">
        <v>44274.602083333302</v>
      </c>
      <c r="O254" s="23">
        <v>44280</v>
      </c>
      <c r="P254" s="24">
        <f t="shared" si="3"/>
        <v>6.3979166666977099</v>
      </c>
      <c r="Q254" s="20" t="s">
        <v>31</v>
      </c>
      <c r="R254" s="20" t="s">
        <v>31</v>
      </c>
      <c r="S254" s="20" t="s">
        <v>32</v>
      </c>
      <c r="T254" s="20">
        <v>7023.37</v>
      </c>
      <c r="U254" s="20" t="s">
        <v>36</v>
      </c>
      <c r="V254" s="25">
        <v>44279.486192129603</v>
      </c>
      <c r="W254" s="20" t="s">
        <v>34</v>
      </c>
      <c r="X254" s="20"/>
      <c r="Y254" s="26">
        <v>45.538333334319802</v>
      </c>
      <c r="Z254" s="22" t="s">
        <v>35</v>
      </c>
      <c r="AA254" s="27" t="s">
        <v>34</v>
      </c>
      <c r="AB254" s="27" t="s">
        <v>31</v>
      </c>
      <c r="AC254" s="28" t="s">
        <v>31</v>
      </c>
      <c r="AD254" s="28" t="s">
        <v>31</v>
      </c>
    </row>
    <row r="255" spans="1:30" ht="14.55" customHeight="1" x14ac:dyDescent="0.4">
      <c r="A255" s="20">
        <v>1</v>
      </c>
      <c r="B255" s="20">
        <v>257</v>
      </c>
      <c r="C255" s="21">
        <v>67</v>
      </c>
      <c r="D255" s="22" t="s">
        <v>38</v>
      </c>
      <c r="E255" s="22">
        <v>0</v>
      </c>
      <c r="F255" s="22">
        <v>0</v>
      </c>
      <c r="G255" s="22">
        <v>0</v>
      </c>
      <c r="H255" s="22">
        <v>1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3">
        <v>43903.666666666701</v>
      </c>
      <c r="O255" s="23">
        <v>43979</v>
      </c>
      <c r="P255" s="24">
        <f t="shared" si="3"/>
        <v>76.333333333299393</v>
      </c>
      <c r="Q255" s="20" t="s">
        <v>31</v>
      </c>
      <c r="R255" s="20" t="s">
        <v>31</v>
      </c>
      <c r="S255" s="20" t="s">
        <v>32</v>
      </c>
      <c r="T255" s="20">
        <v>490008.34</v>
      </c>
      <c r="U255" s="20" t="s">
        <v>40</v>
      </c>
      <c r="V255" s="25">
        <v>43934.703206018501</v>
      </c>
      <c r="W255" s="20" t="s">
        <v>34</v>
      </c>
      <c r="X255" s="20"/>
      <c r="Y255" s="26">
        <v>40.5372222214937</v>
      </c>
      <c r="Z255" s="22" t="s">
        <v>35</v>
      </c>
      <c r="AA255" s="27" t="s">
        <v>34</v>
      </c>
      <c r="AB255" s="27" t="s">
        <v>31</v>
      </c>
      <c r="AC255" s="28" t="s">
        <v>31</v>
      </c>
      <c r="AD255" s="28" t="s">
        <v>31</v>
      </c>
    </row>
    <row r="256" spans="1:30" ht="14.55" customHeight="1" x14ac:dyDescent="0.4">
      <c r="A256" s="20">
        <v>1</v>
      </c>
      <c r="B256" s="20">
        <v>258</v>
      </c>
      <c r="C256" s="21">
        <v>68</v>
      </c>
      <c r="D256" s="22" t="s">
        <v>38</v>
      </c>
      <c r="E256" s="22">
        <v>0</v>
      </c>
      <c r="F256" s="22">
        <v>1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3">
        <v>44330.389583333301</v>
      </c>
      <c r="O256" s="23">
        <v>44341</v>
      </c>
      <c r="P256" s="24">
        <f t="shared" si="3"/>
        <v>11.6104166666992</v>
      </c>
      <c r="Q256" s="20" t="s">
        <v>31</v>
      </c>
      <c r="R256" s="20" t="s">
        <v>31</v>
      </c>
      <c r="S256" s="22" t="s">
        <v>32</v>
      </c>
      <c r="T256" s="20">
        <v>13787.24</v>
      </c>
      <c r="U256" s="20" t="s">
        <v>39</v>
      </c>
      <c r="V256" s="25">
        <v>44336.490532407399</v>
      </c>
      <c r="W256" s="20" t="s">
        <v>45</v>
      </c>
      <c r="X256" s="20"/>
      <c r="Y256" s="26">
        <v>101.288055556768</v>
      </c>
      <c r="Z256" s="22" t="s">
        <v>35</v>
      </c>
      <c r="AA256" s="27">
        <v>1</v>
      </c>
      <c r="AB256" s="27" t="s">
        <v>31</v>
      </c>
      <c r="AC256" s="28">
        <v>1</v>
      </c>
      <c r="AD256" s="28" t="s">
        <v>31</v>
      </c>
    </row>
    <row r="257" spans="1:30" ht="14.55" customHeight="1" x14ac:dyDescent="0.4">
      <c r="A257" s="20">
        <v>1</v>
      </c>
      <c r="B257" s="20">
        <v>259</v>
      </c>
      <c r="C257" s="21">
        <v>65</v>
      </c>
      <c r="D257" s="22" t="s">
        <v>38</v>
      </c>
      <c r="E257" s="22">
        <v>0</v>
      </c>
      <c r="F257" s="22">
        <v>0</v>
      </c>
      <c r="G257" s="22">
        <v>0</v>
      </c>
      <c r="H257" s="22">
        <v>0</v>
      </c>
      <c r="I257" s="22">
        <v>1</v>
      </c>
      <c r="J257" s="22">
        <v>1</v>
      </c>
      <c r="K257" s="22">
        <v>1</v>
      </c>
      <c r="L257" s="22">
        <v>0</v>
      </c>
      <c r="M257" s="22">
        <v>0</v>
      </c>
      <c r="N257" s="23">
        <v>44743.638888888898</v>
      </c>
      <c r="O257" s="23">
        <v>44756</v>
      </c>
      <c r="P257" s="24">
        <f t="shared" si="3"/>
        <v>13.361111111102201</v>
      </c>
      <c r="Q257" s="20" t="s">
        <v>31</v>
      </c>
      <c r="R257" s="20" t="s">
        <v>31</v>
      </c>
      <c r="S257" s="22" t="s">
        <v>32</v>
      </c>
      <c r="T257" s="20">
        <v>12855.47</v>
      </c>
      <c r="U257" s="20" t="s">
        <v>36</v>
      </c>
      <c r="V257" s="25">
        <v>44747.519618055601</v>
      </c>
      <c r="W257" s="20" t="s">
        <v>34</v>
      </c>
      <c r="X257" s="20"/>
      <c r="Y257" s="26">
        <v>45.474444443941998</v>
      </c>
      <c r="Z257" s="22" t="s">
        <v>35</v>
      </c>
      <c r="AA257" s="27" t="s">
        <v>34</v>
      </c>
      <c r="AB257" s="27" t="s">
        <v>31</v>
      </c>
      <c r="AC257" s="28" t="s">
        <v>31</v>
      </c>
      <c r="AD257" s="28" t="s">
        <v>31</v>
      </c>
    </row>
    <row r="258" spans="1:30" ht="14.55" customHeight="1" x14ac:dyDescent="0.4">
      <c r="A258" s="20">
        <v>1</v>
      </c>
      <c r="B258" s="20">
        <v>260</v>
      </c>
      <c r="C258" s="21">
        <v>68</v>
      </c>
      <c r="D258" s="22" t="s">
        <v>38</v>
      </c>
      <c r="E258" s="22">
        <v>0</v>
      </c>
      <c r="F258" s="22">
        <v>0</v>
      </c>
      <c r="G258" s="22">
        <v>0</v>
      </c>
      <c r="H258" s="22">
        <v>1</v>
      </c>
      <c r="I258" s="22">
        <v>1</v>
      </c>
      <c r="J258" s="22">
        <v>0</v>
      </c>
      <c r="K258" s="22">
        <v>0</v>
      </c>
      <c r="L258" s="22">
        <v>0</v>
      </c>
      <c r="M258" s="22">
        <v>0</v>
      </c>
      <c r="N258" s="23">
        <v>44986.604861111096</v>
      </c>
      <c r="O258" s="23">
        <v>44995</v>
      </c>
      <c r="P258" s="24">
        <f t="shared" si="3"/>
        <v>9.3951388889036007</v>
      </c>
      <c r="Q258" s="20" t="s">
        <v>31</v>
      </c>
      <c r="R258" s="20" t="s">
        <v>31</v>
      </c>
      <c r="S258" s="20" t="s">
        <v>32</v>
      </c>
      <c r="T258" s="26">
        <v>8386</v>
      </c>
      <c r="U258" s="20" t="s">
        <v>36</v>
      </c>
      <c r="V258" s="25">
        <v>44992.435046296298</v>
      </c>
      <c r="W258" s="20" t="s">
        <v>34</v>
      </c>
      <c r="X258" s="20"/>
      <c r="Y258" s="26">
        <v>48.338055554428102</v>
      </c>
      <c r="Z258" s="22" t="s">
        <v>35</v>
      </c>
      <c r="AA258" s="27" t="s">
        <v>34</v>
      </c>
      <c r="AB258" s="27" t="s">
        <v>31</v>
      </c>
      <c r="AC258" s="28" t="s">
        <v>31</v>
      </c>
      <c r="AD258" s="28" t="s">
        <v>31</v>
      </c>
    </row>
    <row r="259" spans="1:30" ht="14.55" customHeight="1" x14ac:dyDescent="0.4">
      <c r="A259" s="20">
        <v>1</v>
      </c>
      <c r="B259" s="20">
        <v>261</v>
      </c>
      <c r="C259" s="21">
        <v>67</v>
      </c>
      <c r="D259" s="22" t="s">
        <v>38</v>
      </c>
      <c r="E259" s="22">
        <v>0</v>
      </c>
      <c r="F259" s="22">
        <v>1</v>
      </c>
      <c r="G259" s="22">
        <v>0</v>
      </c>
      <c r="H259" s="22">
        <v>0</v>
      </c>
      <c r="I259" s="22">
        <v>0</v>
      </c>
      <c r="J259" s="22">
        <v>0</v>
      </c>
      <c r="K259" s="22">
        <v>1</v>
      </c>
      <c r="L259" s="22">
        <v>0</v>
      </c>
      <c r="M259" s="22">
        <v>0</v>
      </c>
      <c r="N259" s="23">
        <v>44541.602083333302</v>
      </c>
      <c r="O259" s="23">
        <v>44545</v>
      </c>
      <c r="P259" s="24">
        <f t="shared" ref="P259:P322" si="4">O259-N259+1</f>
        <v>4.3979166666977099</v>
      </c>
      <c r="Q259" s="20" t="s">
        <v>31</v>
      </c>
      <c r="R259" s="20" t="s">
        <v>31</v>
      </c>
      <c r="S259" s="22" t="s">
        <v>32</v>
      </c>
      <c r="T259" s="20">
        <v>7333.74</v>
      </c>
      <c r="U259" s="20" t="s">
        <v>36</v>
      </c>
      <c r="V259" s="25">
        <v>44544.487870370402</v>
      </c>
      <c r="W259" s="20" t="s">
        <v>34</v>
      </c>
      <c r="X259" s="20"/>
      <c r="Y259" s="26">
        <v>47.457499999087297</v>
      </c>
      <c r="Z259" s="22" t="s">
        <v>35</v>
      </c>
      <c r="AA259" s="27" t="s">
        <v>34</v>
      </c>
      <c r="AB259" s="27" t="s">
        <v>31</v>
      </c>
      <c r="AC259" s="28" t="s">
        <v>31</v>
      </c>
      <c r="AD259" s="28" t="s">
        <v>31</v>
      </c>
    </row>
    <row r="260" spans="1:30" ht="14.55" customHeight="1" x14ac:dyDescent="0.4">
      <c r="A260" s="20">
        <v>1</v>
      </c>
      <c r="B260" s="20">
        <v>262</v>
      </c>
      <c r="C260" s="21">
        <v>66</v>
      </c>
      <c r="D260" s="22" t="s">
        <v>38</v>
      </c>
      <c r="E260" s="22">
        <v>0</v>
      </c>
      <c r="F260" s="22">
        <v>1</v>
      </c>
      <c r="G260" s="22">
        <v>1</v>
      </c>
      <c r="H260" s="22">
        <v>1</v>
      </c>
      <c r="I260" s="22">
        <v>0</v>
      </c>
      <c r="J260" s="22">
        <v>1</v>
      </c>
      <c r="K260" s="22">
        <v>1</v>
      </c>
      <c r="L260" s="22">
        <v>0</v>
      </c>
      <c r="M260" s="22">
        <v>0</v>
      </c>
      <c r="N260" s="23">
        <v>44987.601388888899</v>
      </c>
      <c r="O260" s="23">
        <v>44994</v>
      </c>
      <c r="P260" s="24">
        <f t="shared" si="4"/>
        <v>7.3986111111007604</v>
      </c>
      <c r="Q260" s="20" t="s">
        <v>31</v>
      </c>
      <c r="R260" s="20" t="s">
        <v>31</v>
      </c>
      <c r="S260" s="22" t="s">
        <v>32</v>
      </c>
      <c r="T260" s="20">
        <v>9810.1200000000008</v>
      </c>
      <c r="U260" s="20" t="s">
        <v>39</v>
      </c>
      <c r="V260" s="25">
        <v>44991.479421296302</v>
      </c>
      <c r="W260" s="20" t="s">
        <v>34</v>
      </c>
      <c r="X260" s="20"/>
      <c r="Y260" s="26">
        <v>46.534999999101302</v>
      </c>
      <c r="Z260" s="22" t="s">
        <v>35</v>
      </c>
      <c r="AA260" s="27" t="s">
        <v>34</v>
      </c>
      <c r="AB260" s="27" t="s">
        <v>31</v>
      </c>
      <c r="AC260" s="28" t="s">
        <v>31</v>
      </c>
      <c r="AD260" s="28" t="s">
        <v>31</v>
      </c>
    </row>
    <row r="261" spans="1:30" ht="14.55" customHeight="1" x14ac:dyDescent="0.4">
      <c r="A261" s="20">
        <v>1</v>
      </c>
      <c r="B261" s="20">
        <v>263</v>
      </c>
      <c r="C261" s="21">
        <v>65</v>
      </c>
      <c r="D261" s="22" t="s">
        <v>38</v>
      </c>
      <c r="E261" s="22">
        <v>0</v>
      </c>
      <c r="F261" s="22">
        <v>0</v>
      </c>
      <c r="G261" s="22">
        <v>0</v>
      </c>
      <c r="H261" s="22">
        <v>0</v>
      </c>
      <c r="I261" s="22">
        <v>1</v>
      </c>
      <c r="J261" s="22">
        <v>1</v>
      </c>
      <c r="K261" s="22">
        <v>0</v>
      </c>
      <c r="L261" s="22">
        <v>0</v>
      </c>
      <c r="M261" s="22">
        <v>0</v>
      </c>
      <c r="N261" s="23">
        <v>43922.586805555598</v>
      </c>
      <c r="O261" s="23">
        <v>43929</v>
      </c>
      <c r="P261" s="24">
        <f t="shared" si="4"/>
        <v>7.4131944444015998</v>
      </c>
      <c r="Q261" s="20" t="s">
        <v>31</v>
      </c>
      <c r="R261" s="20" t="s">
        <v>31</v>
      </c>
      <c r="S261" s="20" t="s">
        <v>32</v>
      </c>
      <c r="T261" s="20">
        <v>6413.01</v>
      </c>
      <c r="U261" s="20" t="s">
        <v>36</v>
      </c>
      <c r="V261" s="25">
        <v>43924.496527777803</v>
      </c>
      <c r="W261" s="20" t="s">
        <v>34</v>
      </c>
      <c r="X261" s="20"/>
      <c r="Y261" s="26">
        <v>47.170833333511801</v>
      </c>
      <c r="Z261" s="22" t="s">
        <v>35</v>
      </c>
      <c r="AA261" s="27" t="s">
        <v>34</v>
      </c>
      <c r="AB261" s="27" t="s">
        <v>31</v>
      </c>
      <c r="AC261" s="28" t="s">
        <v>31</v>
      </c>
      <c r="AD261" s="28" t="s">
        <v>31</v>
      </c>
    </row>
    <row r="262" spans="1:30" ht="14.55" customHeight="1" x14ac:dyDescent="0.4">
      <c r="A262" s="20">
        <v>1</v>
      </c>
      <c r="B262" s="20">
        <v>264</v>
      </c>
      <c r="C262" s="21">
        <v>66</v>
      </c>
      <c r="D262" s="22" t="s">
        <v>38</v>
      </c>
      <c r="E262" s="22">
        <v>0</v>
      </c>
      <c r="F262" s="22">
        <v>1</v>
      </c>
      <c r="G262" s="22">
        <v>1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3">
        <v>43896.6</v>
      </c>
      <c r="O262" s="23">
        <v>43907</v>
      </c>
      <c r="P262" s="24">
        <f t="shared" si="4"/>
        <v>11.4000000000015</v>
      </c>
      <c r="Q262" s="20" t="s">
        <v>31</v>
      </c>
      <c r="R262" s="20" t="s">
        <v>31</v>
      </c>
      <c r="S262" s="22" t="s">
        <v>32</v>
      </c>
      <c r="T262" s="20">
        <v>11633.88</v>
      </c>
      <c r="U262" s="20" t="s">
        <v>36</v>
      </c>
      <c r="V262" s="25">
        <v>43902.474745370397</v>
      </c>
      <c r="W262" s="20" t="s">
        <v>34</v>
      </c>
      <c r="X262" s="20"/>
      <c r="Y262" s="26">
        <v>47.778055555361803</v>
      </c>
      <c r="Z262" s="22" t="s">
        <v>35</v>
      </c>
      <c r="AA262" s="27" t="s">
        <v>34</v>
      </c>
      <c r="AB262" s="27" t="s">
        <v>31</v>
      </c>
      <c r="AC262" s="28" t="s">
        <v>31</v>
      </c>
      <c r="AD262" s="28" t="s">
        <v>31</v>
      </c>
    </row>
    <row r="263" spans="1:30" ht="14.55" customHeight="1" x14ac:dyDescent="0.4">
      <c r="A263" s="20">
        <v>1</v>
      </c>
      <c r="B263" s="20">
        <v>265</v>
      </c>
      <c r="C263" s="21">
        <v>65</v>
      </c>
      <c r="D263" s="22" t="s">
        <v>38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3">
        <v>44420.6069444444</v>
      </c>
      <c r="O263" s="23">
        <v>44431</v>
      </c>
      <c r="P263" s="24">
        <f t="shared" si="4"/>
        <v>11.393055555599901</v>
      </c>
      <c r="Q263" s="20" t="s">
        <v>31</v>
      </c>
      <c r="R263" s="20" t="s">
        <v>31</v>
      </c>
      <c r="S263" s="22" t="s">
        <v>32</v>
      </c>
      <c r="T263" s="26">
        <v>11966.5</v>
      </c>
      <c r="U263" s="22" t="s">
        <v>39</v>
      </c>
      <c r="V263" s="25">
        <v>44425.644664351901</v>
      </c>
      <c r="W263" s="20" t="s">
        <v>34</v>
      </c>
      <c r="X263" s="20"/>
      <c r="Y263" s="26">
        <v>43.446111110388301</v>
      </c>
      <c r="Z263" s="22" t="s">
        <v>35</v>
      </c>
      <c r="AA263" s="27" t="s">
        <v>34</v>
      </c>
      <c r="AB263" s="27" t="s">
        <v>31</v>
      </c>
      <c r="AC263" s="28" t="s">
        <v>31</v>
      </c>
      <c r="AD263" s="28" t="s">
        <v>31</v>
      </c>
    </row>
    <row r="264" spans="1:30" ht="14.55" customHeight="1" x14ac:dyDescent="0.4">
      <c r="A264" s="20">
        <v>1</v>
      </c>
      <c r="B264" s="20">
        <v>266</v>
      </c>
      <c r="C264" s="21">
        <v>65</v>
      </c>
      <c r="D264" s="22" t="s">
        <v>38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3">
        <v>44745.613888888904</v>
      </c>
      <c r="O264" s="23">
        <v>44755</v>
      </c>
      <c r="P264" s="24">
        <f t="shared" si="4"/>
        <v>10.386111111096399</v>
      </c>
      <c r="Q264" s="20" t="s">
        <v>31</v>
      </c>
      <c r="R264" s="20" t="s">
        <v>31</v>
      </c>
      <c r="S264" s="20" t="s">
        <v>32</v>
      </c>
      <c r="T264" s="20">
        <v>14728.72</v>
      </c>
      <c r="U264" s="20" t="s">
        <v>36</v>
      </c>
      <c r="V264" s="25">
        <v>44748.537349537</v>
      </c>
      <c r="W264" s="20" t="s">
        <v>34</v>
      </c>
      <c r="X264" s="20"/>
      <c r="Y264" s="26">
        <v>43.919166667212302</v>
      </c>
      <c r="Z264" s="22" t="s">
        <v>35</v>
      </c>
      <c r="AA264" s="27" t="s">
        <v>34</v>
      </c>
      <c r="AB264" s="27" t="s">
        <v>31</v>
      </c>
      <c r="AC264" s="28" t="s">
        <v>31</v>
      </c>
      <c r="AD264" s="28" t="s">
        <v>31</v>
      </c>
    </row>
    <row r="265" spans="1:30" ht="14.55" customHeight="1" x14ac:dyDescent="0.4">
      <c r="A265" s="20">
        <v>1</v>
      </c>
      <c r="B265" s="20">
        <v>267</v>
      </c>
      <c r="C265" s="21">
        <v>55</v>
      </c>
      <c r="D265" s="22" t="s">
        <v>30</v>
      </c>
      <c r="E265" s="22">
        <v>0</v>
      </c>
      <c r="F265" s="22">
        <v>0</v>
      </c>
      <c r="G265" s="22">
        <v>1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3">
        <v>44257.395833333299</v>
      </c>
      <c r="O265" s="23">
        <v>44299</v>
      </c>
      <c r="P265" s="24">
        <f t="shared" si="4"/>
        <v>42.6041666667006</v>
      </c>
      <c r="Q265" s="20" t="s">
        <v>31</v>
      </c>
      <c r="R265" s="20" t="s">
        <v>31</v>
      </c>
      <c r="S265" s="22" t="s">
        <v>32</v>
      </c>
      <c r="T265" s="20">
        <v>514897.71</v>
      </c>
      <c r="U265" s="20" t="s">
        <v>51</v>
      </c>
      <c r="V265" s="25">
        <v>44261.433749999997</v>
      </c>
      <c r="W265" s="20" t="s">
        <v>34</v>
      </c>
      <c r="X265" s="20"/>
      <c r="Y265" s="26">
        <v>47.325833332899499</v>
      </c>
      <c r="Z265" s="22" t="s">
        <v>35</v>
      </c>
      <c r="AA265" s="27" t="s">
        <v>34</v>
      </c>
      <c r="AB265" s="27" t="s">
        <v>31</v>
      </c>
      <c r="AC265" s="28" t="s">
        <v>31</v>
      </c>
      <c r="AD265" s="28" t="s">
        <v>31</v>
      </c>
    </row>
    <row r="266" spans="1:30" ht="14.55" customHeight="1" x14ac:dyDescent="0.4">
      <c r="A266" s="20">
        <v>1</v>
      </c>
      <c r="B266" s="20">
        <v>268</v>
      </c>
      <c r="C266" s="21">
        <v>56</v>
      </c>
      <c r="D266" s="22" t="s">
        <v>30</v>
      </c>
      <c r="E266" s="22">
        <v>0</v>
      </c>
      <c r="F266" s="22">
        <v>1</v>
      </c>
      <c r="G266" s="22">
        <v>0</v>
      </c>
      <c r="H266" s="22">
        <v>1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3">
        <v>44801.589583333298</v>
      </c>
      <c r="O266" s="23">
        <v>44811</v>
      </c>
      <c r="P266" s="24">
        <f t="shared" si="4"/>
        <v>10.410416666702099</v>
      </c>
      <c r="Q266" s="20" t="s">
        <v>31</v>
      </c>
      <c r="R266" s="20" t="s">
        <v>31</v>
      </c>
      <c r="S266" s="20" t="s">
        <v>32</v>
      </c>
      <c r="T266" s="20">
        <v>15622.73</v>
      </c>
      <c r="U266" s="20" t="s">
        <v>33</v>
      </c>
      <c r="V266" s="25">
        <v>44804.545833333301</v>
      </c>
      <c r="W266" s="20" t="s">
        <v>34</v>
      </c>
      <c r="X266" s="20"/>
      <c r="Y266" s="26">
        <v>70.895277777628493</v>
      </c>
      <c r="Z266" s="22" t="s">
        <v>35</v>
      </c>
      <c r="AA266" s="27" t="s">
        <v>34</v>
      </c>
      <c r="AB266" s="27" t="s">
        <v>31</v>
      </c>
      <c r="AC266" s="28" t="s">
        <v>31</v>
      </c>
      <c r="AD266" s="28" t="s">
        <v>31</v>
      </c>
    </row>
    <row r="267" spans="1:30" ht="14.55" customHeight="1" x14ac:dyDescent="0.4">
      <c r="A267" s="20">
        <v>1</v>
      </c>
      <c r="B267" s="20">
        <v>269</v>
      </c>
      <c r="C267" s="21">
        <v>58</v>
      </c>
      <c r="D267" s="22" t="s">
        <v>30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1</v>
      </c>
      <c r="N267" s="23">
        <v>44984.441666666702</v>
      </c>
      <c r="O267" s="23">
        <v>45014</v>
      </c>
      <c r="P267" s="24">
        <f t="shared" si="4"/>
        <v>30.558333333297899</v>
      </c>
      <c r="Q267" s="20" t="s">
        <v>31</v>
      </c>
      <c r="R267" s="20" t="s">
        <v>31</v>
      </c>
      <c r="S267" s="20" t="s">
        <v>32</v>
      </c>
      <c r="T267" s="20">
        <v>45195.02</v>
      </c>
      <c r="U267" s="20" t="s">
        <v>36</v>
      </c>
      <c r="V267" s="25">
        <v>44999.453564814801</v>
      </c>
      <c r="W267" s="20" t="s">
        <v>34</v>
      </c>
      <c r="X267" s="20"/>
      <c r="Y267" s="26">
        <v>47.299444444826797</v>
      </c>
      <c r="Z267" s="22" t="s">
        <v>35</v>
      </c>
      <c r="AA267" s="27" t="s">
        <v>34</v>
      </c>
      <c r="AB267" s="27" t="s">
        <v>31</v>
      </c>
      <c r="AC267" s="28" t="s">
        <v>31</v>
      </c>
      <c r="AD267" s="28" t="s">
        <v>31</v>
      </c>
    </row>
    <row r="268" spans="1:30" ht="14.55" customHeight="1" x14ac:dyDescent="0.4">
      <c r="A268" s="20">
        <v>1</v>
      </c>
      <c r="B268" s="20">
        <v>271</v>
      </c>
      <c r="C268" s="21">
        <v>56</v>
      </c>
      <c r="D268" s="22" t="s">
        <v>30</v>
      </c>
      <c r="E268" s="22">
        <v>0</v>
      </c>
      <c r="F268" s="22">
        <v>1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3">
        <v>44455.653472222199</v>
      </c>
      <c r="O268" s="23">
        <v>44467</v>
      </c>
      <c r="P268" s="24">
        <f t="shared" si="4"/>
        <v>12.3465277778014</v>
      </c>
      <c r="Q268" s="20" t="s">
        <v>31</v>
      </c>
      <c r="R268" s="20" t="s">
        <v>31</v>
      </c>
      <c r="S268" s="20" t="s">
        <v>32</v>
      </c>
      <c r="T268" s="20">
        <v>16167.46</v>
      </c>
      <c r="U268" s="20" t="s">
        <v>36</v>
      </c>
      <c r="V268" s="25">
        <v>44465.480810185203</v>
      </c>
      <c r="W268" s="20" t="s">
        <v>34</v>
      </c>
      <c r="X268" s="20"/>
      <c r="Y268" s="26">
        <v>47.034444443997899</v>
      </c>
      <c r="Z268" s="22" t="s">
        <v>35</v>
      </c>
      <c r="AA268" s="27" t="s">
        <v>34</v>
      </c>
      <c r="AB268" s="27" t="s">
        <v>31</v>
      </c>
      <c r="AC268" s="28" t="s">
        <v>31</v>
      </c>
      <c r="AD268" s="28" t="s">
        <v>31</v>
      </c>
    </row>
    <row r="269" spans="1:30" ht="14.55" customHeight="1" x14ac:dyDescent="0.4">
      <c r="A269" s="20">
        <v>1</v>
      </c>
      <c r="B269" s="20">
        <v>272</v>
      </c>
      <c r="C269" s="21">
        <v>57</v>
      </c>
      <c r="D269" s="22" t="s">
        <v>30</v>
      </c>
      <c r="E269" s="22">
        <v>0</v>
      </c>
      <c r="F269" s="22">
        <v>1</v>
      </c>
      <c r="G269" s="22">
        <v>0</v>
      </c>
      <c r="H269" s="22">
        <v>0</v>
      </c>
      <c r="I269" s="22">
        <v>1</v>
      </c>
      <c r="J269" s="22">
        <v>0</v>
      </c>
      <c r="K269" s="22">
        <v>0</v>
      </c>
      <c r="L269" s="22">
        <v>0</v>
      </c>
      <c r="M269" s="22">
        <v>0</v>
      </c>
      <c r="N269" s="23">
        <v>44527.614583333299</v>
      </c>
      <c r="O269" s="23">
        <v>44536</v>
      </c>
      <c r="P269" s="24">
        <f t="shared" si="4"/>
        <v>9.3854166667006194</v>
      </c>
      <c r="Q269" s="20" t="s">
        <v>31</v>
      </c>
      <c r="R269" s="20" t="s">
        <v>31</v>
      </c>
      <c r="S269" s="22" t="s">
        <v>32</v>
      </c>
      <c r="T269" s="20">
        <v>12856.61</v>
      </c>
      <c r="U269" s="20" t="s">
        <v>39</v>
      </c>
      <c r="V269" s="25">
        <v>44531.520671296297</v>
      </c>
      <c r="W269" s="20" t="s">
        <v>34</v>
      </c>
      <c r="X269" s="20"/>
      <c r="Y269" s="26">
        <v>45.852499999338796</v>
      </c>
      <c r="Z269" s="22" t="s">
        <v>35</v>
      </c>
      <c r="AA269" s="27" t="s">
        <v>34</v>
      </c>
      <c r="AB269" s="27" t="s">
        <v>31</v>
      </c>
      <c r="AC269" s="28" t="s">
        <v>31</v>
      </c>
      <c r="AD269" s="28" t="s">
        <v>31</v>
      </c>
    </row>
    <row r="270" spans="1:30" ht="14.55" customHeight="1" x14ac:dyDescent="0.4">
      <c r="A270" s="20">
        <v>1</v>
      </c>
      <c r="B270" s="20">
        <v>273</v>
      </c>
      <c r="C270" s="21">
        <v>57</v>
      </c>
      <c r="D270" s="22" t="s">
        <v>30</v>
      </c>
      <c r="E270" s="22">
        <v>0</v>
      </c>
      <c r="F270" s="22">
        <v>1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3">
        <v>44559.610416666699</v>
      </c>
      <c r="O270" s="23">
        <v>44567</v>
      </c>
      <c r="P270" s="24">
        <f t="shared" si="4"/>
        <v>8.3895833333008305</v>
      </c>
      <c r="Q270" s="20" t="s">
        <v>31</v>
      </c>
      <c r="R270" s="20" t="s">
        <v>31</v>
      </c>
      <c r="S270" s="20" t="s">
        <v>32</v>
      </c>
      <c r="T270" s="20">
        <v>8804.68</v>
      </c>
      <c r="U270" s="20" t="s">
        <v>33</v>
      </c>
      <c r="V270" s="25">
        <v>44565.665428240703</v>
      </c>
      <c r="W270" s="20" t="s">
        <v>34</v>
      </c>
      <c r="X270" s="20"/>
      <c r="Y270" s="26">
        <v>233.36222222383401</v>
      </c>
      <c r="Z270" s="22" t="s">
        <v>35</v>
      </c>
      <c r="AA270" s="27" t="s">
        <v>34</v>
      </c>
      <c r="AB270" s="27" t="s">
        <v>31</v>
      </c>
      <c r="AC270" s="28" t="s">
        <v>31</v>
      </c>
      <c r="AD270" s="28" t="s">
        <v>31</v>
      </c>
    </row>
    <row r="271" spans="1:30" ht="14.55" customHeight="1" x14ac:dyDescent="0.4">
      <c r="A271" s="20">
        <v>1</v>
      </c>
      <c r="B271" s="20">
        <v>274</v>
      </c>
      <c r="C271" s="21">
        <v>59</v>
      </c>
      <c r="D271" s="22" t="s">
        <v>30</v>
      </c>
      <c r="E271" s="22">
        <v>0</v>
      </c>
      <c r="F271" s="22">
        <v>1</v>
      </c>
      <c r="G271" s="22">
        <v>1</v>
      </c>
      <c r="H271" s="22">
        <v>1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3">
        <v>44296.588888888902</v>
      </c>
      <c r="O271" s="23">
        <v>44308</v>
      </c>
      <c r="P271" s="24">
        <f t="shared" si="4"/>
        <v>12.411111111097901</v>
      </c>
      <c r="Q271" s="20" t="s">
        <v>31</v>
      </c>
      <c r="R271" s="20" t="s">
        <v>31</v>
      </c>
      <c r="S271" s="20" t="s">
        <v>32</v>
      </c>
      <c r="T271" s="20">
        <v>12537.67</v>
      </c>
      <c r="U271" s="20" t="s">
        <v>36</v>
      </c>
      <c r="V271" s="25">
        <v>44299.510081018503</v>
      </c>
      <c r="W271" s="20" t="s">
        <v>34</v>
      </c>
      <c r="X271" s="20"/>
      <c r="Y271" s="26">
        <v>237.92277777835301</v>
      </c>
      <c r="Z271" s="22" t="s">
        <v>35</v>
      </c>
      <c r="AA271" s="27" t="s">
        <v>34</v>
      </c>
      <c r="AB271" s="27" t="s">
        <v>31</v>
      </c>
      <c r="AC271" s="28" t="s">
        <v>31</v>
      </c>
      <c r="AD271" s="28" t="s">
        <v>31</v>
      </c>
    </row>
    <row r="272" spans="1:30" ht="14.55" customHeight="1" x14ac:dyDescent="0.4">
      <c r="A272" s="20">
        <v>1</v>
      </c>
      <c r="B272" s="20">
        <v>276</v>
      </c>
      <c r="C272" s="21">
        <v>59</v>
      </c>
      <c r="D272" s="22" t="s">
        <v>30</v>
      </c>
      <c r="E272" s="22">
        <v>0</v>
      </c>
      <c r="F272" s="22">
        <v>1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1</v>
      </c>
      <c r="M272" s="22">
        <v>0</v>
      </c>
      <c r="N272" s="23">
        <v>44008.623611111099</v>
      </c>
      <c r="O272" s="23">
        <v>44018</v>
      </c>
      <c r="P272" s="24">
        <f t="shared" si="4"/>
        <v>10.376388888900699</v>
      </c>
      <c r="Q272" s="20" t="s">
        <v>31</v>
      </c>
      <c r="R272" s="20" t="s">
        <v>31</v>
      </c>
      <c r="S272" s="20" t="s">
        <v>32</v>
      </c>
      <c r="T272" s="26">
        <v>91719.5</v>
      </c>
      <c r="U272" s="20" t="s">
        <v>33</v>
      </c>
      <c r="V272" s="25">
        <v>44013.634965277801</v>
      </c>
      <c r="W272" s="20" t="s">
        <v>34</v>
      </c>
      <c r="X272" s="20"/>
      <c r="Y272" s="26">
        <v>43.850833332049703</v>
      </c>
      <c r="Z272" s="22" t="s">
        <v>35</v>
      </c>
      <c r="AA272" s="27" t="s">
        <v>34</v>
      </c>
      <c r="AB272" s="27" t="s">
        <v>31</v>
      </c>
      <c r="AC272" s="28" t="s">
        <v>31</v>
      </c>
      <c r="AD272" s="28" t="s">
        <v>31</v>
      </c>
    </row>
    <row r="273" spans="1:30" ht="14.55" customHeight="1" x14ac:dyDescent="0.4">
      <c r="A273" s="20">
        <v>1</v>
      </c>
      <c r="B273" s="20">
        <v>277</v>
      </c>
      <c r="C273" s="21">
        <v>56</v>
      </c>
      <c r="D273" s="22" t="s">
        <v>30</v>
      </c>
      <c r="E273" s="22">
        <v>0</v>
      </c>
      <c r="F273" s="22">
        <v>0</v>
      </c>
      <c r="G273" s="22">
        <v>1</v>
      </c>
      <c r="H273" s="22">
        <v>1</v>
      </c>
      <c r="I273" s="22">
        <v>1</v>
      </c>
      <c r="J273" s="22">
        <v>1</v>
      </c>
      <c r="K273" s="22">
        <v>0</v>
      </c>
      <c r="L273" s="22">
        <v>0</v>
      </c>
      <c r="M273" s="22">
        <v>0</v>
      </c>
      <c r="N273" s="23">
        <v>44506.599305555603</v>
      </c>
      <c r="O273" s="23">
        <v>44513</v>
      </c>
      <c r="P273" s="24">
        <f t="shared" si="4"/>
        <v>7.4006944443972298</v>
      </c>
      <c r="Q273" s="20" t="s">
        <v>31</v>
      </c>
      <c r="R273" s="20" t="s">
        <v>31</v>
      </c>
      <c r="S273" s="20" t="s">
        <v>32</v>
      </c>
      <c r="T273" s="20">
        <v>13033.01</v>
      </c>
      <c r="U273" s="20" t="s">
        <v>36</v>
      </c>
      <c r="V273" s="25">
        <v>44510.485011574099</v>
      </c>
      <c r="W273" s="20" t="s">
        <v>34</v>
      </c>
      <c r="X273" s="20"/>
      <c r="Y273" s="26">
        <v>46.900555555243002</v>
      </c>
      <c r="Z273" s="22" t="s">
        <v>35</v>
      </c>
      <c r="AA273" s="27" t="s">
        <v>34</v>
      </c>
      <c r="AB273" s="27" t="s">
        <v>31</v>
      </c>
      <c r="AC273" s="28" t="s">
        <v>31</v>
      </c>
      <c r="AD273" s="28" t="s">
        <v>31</v>
      </c>
    </row>
    <row r="274" spans="1:30" ht="14.55" customHeight="1" x14ac:dyDescent="0.4">
      <c r="A274" s="20">
        <v>1</v>
      </c>
      <c r="B274" s="20">
        <v>278</v>
      </c>
      <c r="C274" s="21">
        <v>55</v>
      </c>
      <c r="D274" s="22" t="s">
        <v>30</v>
      </c>
      <c r="E274" s="22">
        <v>0</v>
      </c>
      <c r="F274" s="22">
        <v>1</v>
      </c>
      <c r="G274" s="22">
        <v>1</v>
      </c>
      <c r="H274" s="22">
        <v>1</v>
      </c>
      <c r="I274" s="22">
        <v>1</v>
      </c>
      <c r="J274" s="22">
        <v>1</v>
      </c>
      <c r="K274" s="22">
        <v>0</v>
      </c>
      <c r="L274" s="22">
        <v>0</v>
      </c>
      <c r="M274" s="22">
        <v>0</v>
      </c>
      <c r="N274" s="23">
        <v>44465.609027777798</v>
      </c>
      <c r="O274" s="23">
        <v>44491</v>
      </c>
      <c r="P274" s="24">
        <f t="shared" si="4"/>
        <v>26.390972222201501</v>
      </c>
      <c r="Q274" s="20" t="s">
        <v>31</v>
      </c>
      <c r="R274" s="20" t="s">
        <v>31</v>
      </c>
      <c r="S274" s="20" t="s">
        <v>32</v>
      </c>
      <c r="T274" s="26">
        <v>21880.3</v>
      </c>
      <c r="U274" s="20" t="s">
        <v>33</v>
      </c>
      <c r="V274" s="25">
        <v>44480.440162036997</v>
      </c>
      <c r="W274" s="20" t="s">
        <v>34</v>
      </c>
      <c r="X274" s="20"/>
      <c r="Y274" s="26">
        <v>47.227222224057201</v>
      </c>
      <c r="Z274" s="22" t="s">
        <v>35</v>
      </c>
      <c r="AA274" s="27" t="s">
        <v>34</v>
      </c>
      <c r="AB274" s="27" t="s">
        <v>31</v>
      </c>
      <c r="AC274" s="28" t="s">
        <v>31</v>
      </c>
      <c r="AD274" s="28" t="s">
        <v>31</v>
      </c>
    </row>
    <row r="275" spans="1:30" ht="14.55" customHeight="1" x14ac:dyDescent="0.4">
      <c r="A275" s="20">
        <v>1</v>
      </c>
      <c r="B275" s="20">
        <v>279</v>
      </c>
      <c r="C275" s="21">
        <v>58</v>
      </c>
      <c r="D275" s="22" t="s">
        <v>30</v>
      </c>
      <c r="E275" s="22">
        <v>0</v>
      </c>
      <c r="F275" s="22">
        <v>1</v>
      </c>
      <c r="G275" s="22">
        <v>0</v>
      </c>
      <c r="H275" s="22">
        <v>0</v>
      </c>
      <c r="I275" s="22">
        <v>1</v>
      </c>
      <c r="J275" s="22">
        <v>0</v>
      </c>
      <c r="K275" s="22">
        <v>0</v>
      </c>
      <c r="L275" s="22">
        <v>0</v>
      </c>
      <c r="M275" s="22">
        <v>0</v>
      </c>
      <c r="N275" s="23">
        <v>44131.588888888902</v>
      </c>
      <c r="O275" s="23">
        <v>44141</v>
      </c>
      <c r="P275" s="24">
        <f t="shared" si="4"/>
        <v>10.411111111097901</v>
      </c>
      <c r="Q275" s="20" t="s">
        <v>31</v>
      </c>
      <c r="R275" s="20" t="s">
        <v>31</v>
      </c>
      <c r="S275" s="22" t="s">
        <v>32</v>
      </c>
      <c r="T275" s="20">
        <v>10803.35</v>
      </c>
      <c r="U275" s="20" t="s">
        <v>33</v>
      </c>
      <c r="V275" s="25">
        <v>44134.490138888897</v>
      </c>
      <c r="W275" s="20" t="s">
        <v>34</v>
      </c>
      <c r="X275" s="20"/>
      <c r="Y275" s="26">
        <v>47.718055555305902</v>
      </c>
      <c r="Z275" s="22" t="s">
        <v>35</v>
      </c>
      <c r="AA275" s="27" t="s">
        <v>34</v>
      </c>
      <c r="AB275" s="27" t="s">
        <v>31</v>
      </c>
      <c r="AC275" s="28" t="s">
        <v>31</v>
      </c>
      <c r="AD275" s="28" t="s">
        <v>31</v>
      </c>
    </row>
    <row r="276" spans="1:30" ht="14.55" customHeight="1" x14ac:dyDescent="0.4">
      <c r="A276" s="20">
        <v>1</v>
      </c>
      <c r="B276" s="20">
        <v>280</v>
      </c>
      <c r="C276" s="21">
        <v>58</v>
      </c>
      <c r="D276" s="22" t="s">
        <v>30</v>
      </c>
      <c r="E276" s="22">
        <v>0</v>
      </c>
      <c r="F276" s="22">
        <v>1</v>
      </c>
      <c r="G276" s="22">
        <v>0</v>
      </c>
      <c r="H276" s="22">
        <v>1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3">
        <v>44817.611111111102</v>
      </c>
      <c r="O276" s="23">
        <v>44822</v>
      </c>
      <c r="P276" s="24">
        <f t="shared" si="4"/>
        <v>5.3888888888977799</v>
      </c>
      <c r="Q276" s="20" t="s">
        <v>31</v>
      </c>
      <c r="R276" s="20" t="s">
        <v>31</v>
      </c>
      <c r="S276" s="22" t="s">
        <v>32</v>
      </c>
      <c r="T276" s="20">
        <v>7484.96</v>
      </c>
      <c r="U276" s="20" t="s">
        <v>36</v>
      </c>
      <c r="V276" s="25">
        <v>44818.542546296303</v>
      </c>
      <c r="W276" s="20" t="s">
        <v>34</v>
      </c>
      <c r="X276" s="20"/>
      <c r="Y276" s="26">
        <v>44.380555555166197</v>
      </c>
      <c r="Z276" s="22" t="s">
        <v>35</v>
      </c>
      <c r="AA276" s="27" t="s">
        <v>34</v>
      </c>
      <c r="AB276" s="27" t="s">
        <v>31</v>
      </c>
      <c r="AC276" s="28" t="s">
        <v>31</v>
      </c>
      <c r="AD276" s="28" t="s">
        <v>31</v>
      </c>
    </row>
    <row r="277" spans="1:30" ht="14.55" customHeight="1" x14ac:dyDescent="0.4">
      <c r="A277" s="20">
        <v>1</v>
      </c>
      <c r="B277" s="20">
        <v>281</v>
      </c>
      <c r="C277" s="21">
        <v>59</v>
      </c>
      <c r="D277" s="22" t="s">
        <v>30</v>
      </c>
      <c r="E277" s="22">
        <v>0</v>
      </c>
      <c r="F277" s="22">
        <v>1</v>
      </c>
      <c r="G277" s="22">
        <v>0</v>
      </c>
      <c r="H277" s="22">
        <v>1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3">
        <v>44714.552083333299</v>
      </c>
      <c r="O277" s="23">
        <v>44737</v>
      </c>
      <c r="P277" s="24">
        <f t="shared" si="4"/>
        <v>23.4479166667006</v>
      </c>
      <c r="Q277" s="20" t="s">
        <v>31</v>
      </c>
      <c r="R277" s="20" t="s">
        <v>31</v>
      </c>
      <c r="S277" s="20" t="s">
        <v>32</v>
      </c>
      <c r="T277" s="20">
        <v>43266.67</v>
      </c>
      <c r="U277" s="20" t="s">
        <v>36</v>
      </c>
      <c r="V277" s="25">
        <v>44732.472604166702</v>
      </c>
      <c r="W277" s="20" t="s">
        <v>34</v>
      </c>
      <c r="X277" s="20"/>
      <c r="Y277" s="26">
        <v>45.753055555222097</v>
      </c>
      <c r="Z277" s="22" t="s">
        <v>35</v>
      </c>
      <c r="AA277" s="27" t="s">
        <v>34</v>
      </c>
      <c r="AB277" s="27" t="s">
        <v>31</v>
      </c>
      <c r="AC277" s="28" t="s">
        <v>31</v>
      </c>
      <c r="AD277" s="28" t="s">
        <v>31</v>
      </c>
    </row>
    <row r="278" spans="1:30" ht="14.55" customHeight="1" x14ac:dyDescent="0.4">
      <c r="A278" s="20">
        <v>1</v>
      </c>
      <c r="B278" s="20">
        <v>282</v>
      </c>
      <c r="C278" s="21">
        <v>55</v>
      </c>
      <c r="D278" s="22" t="s">
        <v>30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3">
        <v>44826.616666666698</v>
      </c>
      <c r="O278" s="23">
        <v>44841</v>
      </c>
      <c r="P278" s="24">
        <f t="shared" si="4"/>
        <v>15.3833333333023</v>
      </c>
      <c r="Q278" s="20" t="s">
        <v>31</v>
      </c>
      <c r="R278" s="20" t="s">
        <v>31</v>
      </c>
      <c r="S278" s="22" t="s">
        <v>32</v>
      </c>
      <c r="T278" s="20">
        <v>19832.95</v>
      </c>
      <c r="U278" s="20" t="s">
        <v>36</v>
      </c>
      <c r="V278" s="25">
        <v>44831.619155092601</v>
      </c>
      <c r="W278" s="20" t="s">
        <v>34</v>
      </c>
      <c r="X278" s="20"/>
      <c r="Y278" s="26">
        <v>42.727499999979003</v>
      </c>
      <c r="Z278" s="22" t="s">
        <v>35</v>
      </c>
      <c r="AA278" s="27" t="s">
        <v>34</v>
      </c>
      <c r="AB278" s="27" t="s">
        <v>31</v>
      </c>
      <c r="AC278" s="28" t="s">
        <v>31</v>
      </c>
      <c r="AD278" s="28" t="s">
        <v>31</v>
      </c>
    </row>
    <row r="279" spans="1:30" ht="14.55" customHeight="1" x14ac:dyDescent="0.4">
      <c r="A279" s="20">
        <v>1</v>
      </c>
      <c r="B279" s="20">
        <v>283</v>
      </c>
      <c r="C279" s="21">
        <v>59</v>
      </c>
      <c r="D279" s="22" t="s">
        <v>30</v>
      </c>
      <c r="E279" s="22">
        <v>0</v>
      </c>
      <c r="F279" s="22">
        <v>0</v>
      </c>
      <c r="G279" s="22">
        <v>0</v>
      </c>
      <c r="H279" s="22">
        <v>0</v>
      </c>
      <c r="I279" s="22">
        <v>1</v>
      </c>
      <c r="J279" s="22">
        <v>0</v>
      </c>
      <c r="K279" s="22">
        <v>0</v>
      </c>
      <c r="L279" s="22">
        <v>0</v>
      </c>
      <c r="M279" s="22">
        <v>0</v>
      </c>
      <c r="N279" s="23">
        <v>44995.640972222202</v>
      </c>
      <c r="O279" s="23">
        <v>45002</v>
      </c>
      <c r="P279" s="24">
        <f t="shared" si="4"/>
        <v>7.3590277777984703</v>
      </c>
      <c r="Q279" s="20" t="s">
        <v>31</v>
      </c>
      <c r="R279" s="20" t="s">
        <v>31</v>
      </c>
      <c r="S279" s="22" t="s">
        <v>32</v>
      </c>
      <c r="T279" s="20">
        <v>11123.86</v>
      </c>
      <c r="U279" s="20" t="s">
        <v>36</v>
      </c>
      <c r="V279" s="25">
        <v>44999.637361111098</v>
      </c>
      <c r="W279" s="20" t="s">
        <v>52</v>
      </c>
      <c r="X279" s="20"/>
      <c r="Y279" s="26">
        <v>65.438055556907798</v>
      </c>
      <c r="Z279" s="22" t="s">
        <v>35</v>
      </c>
      <c r="AA279" s="27">
        <v>1</v>
      </c>
      <c r="AB279" s="27" t="s">
        <v>31</v>
      </c>
      <c r="AC279" s="28">
        <v>2</v>
      </c>
      <c r="AD279" s="28" t="s">
        <v>31</v>
      </c>
    </row>
    <row r="280" spans="1:30" ht="14.55" customHeight="1" x14ac:dyDescent="0.4">
      <c r="A280" s="20">
        <v>1</v>
      </c>
      <c r="B280" s="20">
        <v>284</v>
      </c>
      <c r="C280" s="21">
        <v>57</v>
      </c>
      <c r="D280" s="22" t="s">
        <v>30</v>
      </c>
      <c r="E280" s="22">
        <v>0</v>
      </c>
      <c r="F280" s="22">
        <v>1</v>
      </c>
      <c r="G280" s="22">
        <v>0</v>
      </c>
      <c r="H280" s="22">
        <v>1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3">
        <v>44701.675000000003</v>
      </c>
      <c r="O280" s="23">
        <v>44711</v>
      </c>
      <c r="P280" s="24">
        <f t="shared" si="4"/>
        <v>10.3249999999971</v>
      </c>
      <c r="Q280" s="20" t="s">
        <v>31</v>
      </c>
      <c r="R280" s="20" t="s">
        <v>31</v>
      </c>
      <c r="S280" s="20" t="s">
        <v>32</v>
      </c>
      <c r="T280" s="20">
        <v>13763.68</v>
      </c>
      <c r="U280" s="20" t="s">
        <v>36</v>
      </c>
      <c r="V280" s="25">
        <v>44708.492743055598</v>
      </c>
      <c r="W280" s="20" t="s">
        <v>34</v>
      </c>
      <c r="X280" s="20"/>
      <c r="Y280" s="26">
        <v>46.099166666390403</v>
      </c>
      <c r="Z280" s="22" t="s">
        <v>35</v>
      </c>
      <c r="AA280" s="27" t="s">
        <v>34</v>
      </c>
      <c r="AB280" s="27" t="s">
        <v>31</v>
      </c>
      <c r="AC280" s="28" t="s">
        <v>31</v>
      </c>
      <c r="AD280" s="28" t="s">
        <v>31</v>
      </c>
    </row>
    <row r="281" spans="1:30" ht="14.55" customHeight="1" x14ac:dyDescent="0.4">
      <c r="A281" s="20">
        <v>1</v>
      </c>
      <c r="B281" s="20">
        <v>285</v>
      </c>
      <c r="C281" s="21">
        <v>59</v>
      </c>
      <c r="D281" s="22" t="s">
        <v>30</v>
      </c>
      <c r="E281" s="22">
        <v>0</v>
      </c>
      <c r="F281" s="22">
        <v>1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3">
        <v>44449.647916666698</v>
      </c>
      <c r="O281" s="23">
        <v>44457</v>
      </c>
      <c r="P281" s="24">
        <f t="shared" si="4"/>
        <v>8.3520833333022892</v>
      </c>
      <c r="Q281" s="20" t="s">
        <v>31</v>
      </c>
      <c r="R281" s="20" t="s">
        <v>31</v>
      </c>
      <c r="S281" s="22" t="s">
        <v>32</v>
      </c>
      <c r="T281" s="20">
        <v>9071.59</v>
      </c>
      <c r="U281" s="22" t="s">
        <v>39</v>
      </c>
      <c r="V281" s="25">
        <v>44454.721215277801</v>
      </c>
      <c r="W281" s="20" t="s">
        <v>48</v>
      </c>
      <c r="X281" s="20"/>
      <c r="Y281" s="26">
        <v>208.70638888789099</v>
      </c>
      <c r="Z281" s="22" t="s">
        <v>35</v>
      </c>
      <c r="AA281" s="27">
        <v>1</v>
      </c>
      <c r="AB281" s="27" t="s">
        <v>31</v>
      </c>
      <c r="AC281" s="28">
        <v>1</v>
      </c>
      <c r="AD281" s="28" t="s">
        <v>31</v>
      </c>
    </row>
    <row r="282" spans="1:30" ht="14.55" customHeight="1" x14ac:dyDescent="0.4">
      <c r="A282" s="20">
        <v>1</v>
      </c>
      <c r="B282" s="20">
        <v>286</v>
      </c>
      <c r="C282" s="21">
        <v>58</v>
      </c>
      <c r="D282" s="22" t="s">
        <v>30</v>
      </c>
      <c r="E282" s="22">
        <v>0</v>
      </c>
      <c r="F282" s="22">
        <v>1</v>
      </c>
      <c r="G282" s="22">
        <v>0</v>
      </c>
      <c r="H282" s="22">
        <v>0</v>
      </c>
      <c r="I282" s="22">
        <v>0</v>
      </c>
      <c r="J282" s="22">
        <v>0</v>
      </c>
      <c r="K282" s="22">
        <v>1</v>
      </c>
      <c r="L282" s="22">
        <v>0</v>
      </c>
      <c r="M282" s="22">
        <v>0</v>
      </c>
      <c r="N282" s="23">
        <v>44280.609722222202</v>
      </c>
      <c r="O282" s="23">
        <v>44285</v>
      </c>
      <c r="P282" s="24">
        <f t="shared" si="4"/>
        <v>5.3902777777984703</v>
      </c>
      <c r="Q282" s="20" t="s">
        <v>31</v>
      </c>
      <c r="R282" s="20" t="s">
        <v>31</v>
      </c>
      <c r="S282" s="22" t="s">
        <v>32</v>
      </c>
      <c r="T282" s="20">
        <v>8255.0400000000009</v>
      </c>
      <c r="U282" s="20" t="s">
        <v>39</v>
      </c>
      <c r="V282" s="25">
        <v>44284.629699074103</v>
      </c>
      <c r="W282" s="20" t="s">
        <v>34</v>
      </c>
      <c r="X282" s="20"/>
      <c r="Y282" s="26">
        <v>235.08888888708299</v>
      </c>
      <c r="Z282" s="22" t="s">
        <v>35</v>
      </c>
      <c r="AA282" s="27" t="s">
        <v>34</v>
      </c>
      <c r="AB282" s="27" t="s">
        <v>31</v>
      </c>
      <c r="AC282" s="28" t="s">
        <v>31</v>
      </c>
      <c r="AD282" s="28" t="s">
        <v>31</v>
      </c>
    </row>
    <row r="283" spans="1:30" ht="14.55" customHeight="1" x14ac:dyDescent="0.4">
      <c r="A283" s="20">
        <v>1</v>
      </c>
      <c r="B283" s="20">
        <v>287</v>
      </c>
      <c r="C283" s="21">
        <v>56</v>
      </c>
      <c r="D283" s="22" t="s">
        <v>30</v>
      </c>
      <c r="E283" s="22">
        <v>0</v>
      </c>
      <c r="F283" s="22">
        <v>1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3">
        <v>44095.631944444402</v>
      </c>
      <c r="O283" s="23">
        <v>44103</v>
      </c>
      <c r="P283" s="24">
        <f t="shared" si="4"/>
        <v>8.3680555555983993</v>
      </c>
      <c r="Q283" s="20" t="s">
        <v>31</v>
      </c>
      <c r="R283" s="20" t="s">
        <v>31</v>
      </c>
      <c r="S283" s="20" t="s">
        <v>32</v>
      </c>
      <c r="T283" s="20">
        <v>8946.9500000000007</v>
      </c>
      <c r="U283" s="20" t="s">
        <v>39</v>
      </c>
      <c r="V283" s="25">
        <v>44101.432627314804</v>
      </c>
      <c r="W283" s="20" t="s">
        <v>34</v>
      </c>
      <c r="X283" s="20"/>
      <c r="Y283" s="26">
        <v>47.832777777453899</v>
      </c>
      <c r="Z283" s="22" t="s">
        <v>35</v>
      </c>
      <c r="AA283" s="27" t="s">
        <v>34</v>
      </c>
      <c r="AB283" s="27" t="s">
        <v>31</v>
      </c>
      <c r="AC283" s="28" t="s">
        <v>31</v>
      </c>
      <c r="AD283" s="28" t="s">
        <v>31</v>
      </c>
    </row>
    <row r="284" spans="1:30" ht="14.55" customHeight="1" x14ac:dyDescent="0.4">
      <c r="A284" s="20">
        <v>1</v>
      </c>
      <c r="B284" s="20">
        <v>288</v>
      </c>
      <c r="C284" s="21">
        <v>59</v>
      </c>
      <c r="D284" s="22" t="s">
        <v>30</v>
      </c>
      <c r="E284" s="22">
        <v>0</v>
      </c>
      <c r="F284" s="22"/>
      <c r="G284" s="22">
        <v>0</v>
      </c>
      <c r="H284" s="22">
        <v>1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3">
        <v>44979.593055555597</v>
      </c>
      <c r="O284" s="23">
        <v>44988</v>
      </c>
      <c r="P284" s="24">
        <f t="shared" si="4"/>
        <v>9.4069444444030506</v>
      </c>
      <c r="Q284" s="20" t="s">
        <v>31</v>
      </c>
      <c r="R284" s="20" t="s">
        <v>31</v>
      </c>
      <c r="S284" s="22" t="s">
        <v>32</v>
      </c>
      <c r="T284" s="20">
        <v>9462.02</v>
      </c>
      <c r="U284" s="20" t="s">
        <v>33</v>
      </c>
      <c r="V284" s="25">
        <v>44987.487129629597</v>
      </c>
      <c r="W284" s="20" t="s">
        <v>34</v>
      </c>
      <c r="X284" s="20"/>
      <c r="Y284" s="26">
        <v>46.684722223319099</v>
      </c>
      <c r="Z284" s="22" t="s">
        <v>35</v>
      </c>
      <c r="AA284" s="27" t="s">
        <v>34</v>
      </c>
      <c r="AB284" s="27" t="s">
        <v>31</v>
      </c>
      <c r="AC284" s="28" t="s">
        <v>31</v>
      </c>
      <c r="AD284" s="28" t="s">
        <v>31</v>
      </c>
    </row>
    <row r="285" spans="1:30" ht="14.55" customHeight="1" x14ac:dyDescent="0.4">
      <c r="A285" s="20">
        <v>1</v>
      </c>
      <c r="B285" s="20">
        <v>289</v>
      </c>
      <c r="C285" s="21">
        <v>56</v>
      </c>
      <c r="D285" s="22" t="s">
        <v>30</v>
      </c>
      <c r="E285" s="22">
        <v>0</v>
      </c>
      <c r="F285" s="22">
        <v>0</v>
      </c>
      <c r="G285" s="22">
        <v>1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3">
        <v>44399.6472222222</v>
      </c>
      <c r="O285" s="23">
        <v>44410</v>
      </c>
      <c r="P285" s="24">
        <f t="shared" si="4"/>
        <v>11.352777777799901</v>
      </c>
      <c r="Q285" s="20" t="s">
        <v>31</v>
      </c>
      <c r="R285" s="20" t="s">
        <v>31</v>
      </c>
      <c r="S285" s="20" t="s">
        <v>32</v>
      </c>
      <c r="T285" s="20">
        <v>7683.11</v>
      </c>
      <c r="U285" s="20" t="s">
        <v>36</v>
      </c>
      <c r="V285" s="25">
        <v>44404.480555555601</v>
      </c>
      <c r="W285" s="20" t="s">
        <v>65</v>
      </c>
      <c r="X285" s="20"/>
      <c r="Y285" s="26">
        <v>69.853333331993795</v>
      </c>
      <c r="Z285" s="22" t="s">
        <v>35</v>
      </c>
      <c r="AA285" s="27">
        <v>1</v>
      </c>
      <c r="AB285" s="27" t="s">
        <v>31</v>
      </c>
      <c r="AC285" s="28">
        <v>1</v>
      </c>
      <c r="AD285" s="28" t="s">
        <v>31</v>
      </c>
    </row>
    <row r="286" spans="1:30" ht="14.55" customHeight="1" x14ac:dyDescent="0.4">
      <c r="A286" s="20">
        <v>1</v>
      </c>
      <c r="B286" s="20">
        <v>290</v>
      </c>
      <c r="C286" s="21">
        <v>58</v>
      </c>
      <c r="D286" s="22" t="s">
        <v>30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3">
        <v>44707.694444444402</v>
      </c>
      <c r="O286" s="23">
        <v>44728</v>
      </c>
      <c r="P286" s="24">
        <f t="shared" si="4"/>
        <v>21.305555555598399</v>
      </c>
      <c r="Q286" s="20" t="s">
        <v>31</v>
      </c>
      <c r="R286" s="20" t="s">
        <v>31</v>
      </c>
      <c r="S286" s="20" t="s">
        <v>32</v>
      </c>
      <c r="T286" s="20">
        <v>85933.46</v>
      </c>
      <c r="U286" s="20" t="s">
        <v>33</v>
      </c>
      <c r="V286" s="25">
        <v>44711.502673611103</v>
      </c>
      <c r="W286" s="20" t="s">
        <v>34</v>
      </c>
      <c r="X286" s="20"/>
      <c r="Y286" s="26">
        <v>45.2491666679853</v>
      </c>
      <c r="Z286" s="22" t="s">
        <v>35</v>
      </c>
      <c r="AA286" s="27" t="s">
        <v>34</v>
      </c>
      <c r="AB286" s="27" t="s">
        <v>31</v>
      </c>
      <c r="AC286" s="28" t="s">
        <v>31</v>
      </c>
      <c r="AD286" s="28" t="s">
        <v>31</v>
      </c>
    </row>
    <row r="287" spans="1:30" ht="14.55" customHeight="1" x14ac:dyDescent="0.4">
      <c r="A287" s="20">
        <v>1</v>
      </c>
      <c r="B287" s="20">
        <v>291</v>
      </c>
      <c r="C287" s="21">
        <v>59</v>
      </c>
      <c r="D287" s="22" t="s">
        <v>30</v>
      </c>
      <c r="E287" s="22">
        <v>0</v>
      </c>
      <c r="F287" s="22">
        <v>1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3">
        <v>44523.447916666701</v>
      </c>
      <c r="O287" s="23">
        <v>44529</v>
      </c>
      <c r="P287" s="24">
        <f t="shared" si="4"/>
        <v>6.5520833332993798</v>
      </c>
      <c r="Q287" s="20" t="s">
        <v>31</v>
      </c>
      <c r="R287" s="20" t="s">
        <v>31</v>
      </c>
      <c r="S287" s="22" t="s">
        <v>32</v>
      </c>
      <c r="T287" s="20">
        <v>9143.81</v>
      </c>
      <c r="U287" s="20" t="s">
        <v>39</v>
      </c>
      <c r="V287" s="25">
        <v>44524.710138888899</v>
      </c>
      <c r="W287" s="20" t="s">
        <v>34</v>
      </c>
      <c r="X287" s="20"/>
      <c r="Y287" s="26">
        <v>41.977777778345597</v>
      </c>
      <c r="Z287" s="22" t="s">
        <v>35</v>
      </c>
      <c r="AA287" s="27" t="s">
        <v>34</v>
      </c>
      <c r="AB287" s="27" t="s">
        <v>31</v>
      </c>
      <c r="AC287" s="28" t="s">
        <v>31</v>
      </c>
      <c r="AD287" s="28" t="s">
        <v>31</v>
      </c>
    </row>
    <row r="288" spans="1:30" ht="14.55" customHeight="1" x14ac:dyDescent="0.4">
      <c r="A288" s="20">
        <v>1</v>
      </c>
      <c r="B288" s="20">
        <v>292</v>
      </c>
      <c r="C288" s="21">
        <v>55</v>
      </c>
      <c r="D288" s="22" t="s">
        <v>30</v>
      </c>
      <c r="E288" s="22">
        <v>0</v>
      </c>
      <c r="F288" s="22">
        <v>1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3">
        <v>43963.668749999997</v>
      </c>
      <c r="O288" s="23">
        <v>43979</v>
      </c>
      <c r="P288" s="24">
        <f t="shared" si="4"/>
        <v>16.3312500000029</v>
      </c>
      <c r="Q288" s="20" t="s">
        <v>31</v>
      </c>
      <c r="R288" s="20" t="s">
        <v>31</v>
      </c>
      <c r="S288" s="20" t="s">
        <v>32</v>
      </c>
      <c r="T288" s="20">
        <v>19442.55</v>
      </c>
      <c r="U288" s="20" t="s">
        <v>39</v>
      </c>
      <c r="V288" s="25">
        <v>43978.495740740698</v>
      </c>
      <c r="W288" s="20" t="s">
        <v>34</v>
      </c>
      <c r="X288" s="20"/>
      <c r="Y288" s="26">
        <v>47.079444446484601</v>
      </c>
      <c r="Z288" s="22" t="s">
        <v>35</v>
      </c>
      <c r="AA288" s="27" t="s">
        <v>34</v>
      </c>
      <c r="AB288" s="27" t="s">
        <v>31</v>
      </c>
      <c r="AC288" s="28" t="s">
        <v>31</v>
      </c>
      <c r="AD288" s="28" t="s">
        <v>31</v>
      </c>
    </row>
    <row r="289" spans="1:30" ht="14.55" customHeight="1" x14ac:dyDescent="0.4">
      <c r="A289" s="20">
        <v>1</v>
      </c>
      <c r="B289" s="20">
        <v>293</v>
      </c>
      <c r="C289" s="21">
        <v>58</v>
      </c>
      <c r="D289" s="22" t="s">
        <v>30</v>
      </c>
      <c r="E289" s="22">
        <v>0</v>
      </c>
      <c r="F289" s="22">
        <v>1</v>
      </c>
      <c r="G289" s="22">
        <v>1</v>
      </c>
      <c r="H289" s="22">
        <v>0</v>
      </c>
      <c r="I289" s="22">
        <v>0</v>
      </c>
      <c r="J289" s="22">
        <v>0</v>
      </c>
      <c r="K289" s="22">
        <v>0</v>
      </c>
      <c r="L289" s="22">
        <v>1</v>
      </c>
      <c r="M289" s="22">
        <v>0</v>
      </c>
      <c r="N289" s="23">
        <v>44253.623611111099</v>
      </c>
      <c r="O289" s="23">
        <v>44273</v>
      </c>
      <c r="P289" s="24">
        <f t="shared" si="4"/>
        <v>20.376388888900699</v>
      </c>
      <c r="Q289" s="20" t="s">
        <v>31</v>
      </c>
      <c r="R289" s="20" t="s">
        <v>31</v>
      </c>
      <c r="S289" s="22" t="s">
        <v>32</v>
      </c>
      <c r="T289" s="20">
        <v>28767.05</v>
      </c>
      <c r="U289" s="20" t="s">
        <v>39</v>
      </c>
      <c r="V289" s="25">
        <v>44257.625439814801</v>
      </c>
      <c r="W289" s="20" t="s">
        <v>34</v>
      </c>
      <c r="X289" s="20"/>
      <c r="Y289" s="26">
        <v>42.400555555243002</v>
      </c>
      <c r="Z289" s="22" t="s">
        <v>35</v>
      </c>
      <c r="AA289" s="27" t="s">
        <v>34</v>
      </c>
      <c r="AB289" s="27" t="s">
        <v>31</v>
      </c>
      <c r="AC289" s="28" t="s">
        <v>31</v>
      </c>
      <c r="AD289" s="28" t="s">
        <v>31</v>
      </c>
    </row>
    <row r="290" spans="1:30" ht="14.55" customHeight="1" x14ac:dyDescent="0.4">
      <c r="A290" s="20">
        <v>1</v>
      </c>
      <c r="B290" s="20">
        <v>294</v>
      </c>
      <c r="C290" s="21">
        <v>58</v>
      </c>
      <c r="D290" s="22" t="s">
        <v>30</v>
      </c>
      <c r="E290" s="22">
        <v>0</v>
      </c>
      <c r="F290" s="22">
        <v>1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3">
        <v>44858.589583333298</v>
      </c>
      <c r="O290" s="23">
        <v>44871</v>
      </c>
      <c r="P290" s="24">
        <f t="shared" si="4"/>
        <v>13.410416666702099</v>
      </c>
      <c r="Q290" s="20" t="s">
        <v>31</v>
      </c>
      <c r="R290" s="20" t="s">
        <v>31</v>
      </c>
      <c r="S290" s="20" t="s">
        <v>32</v>
      </c>
      <c r="T290" s="20">
        <v>79156.27</v>
      </c>
      <c r="U290" s="20" t="s">
        <v>39</v>
      </c>
      <c r="V290" s="25">
        <v>44861.694722222201</v>
      </c>
      <c r="W290" s="20" t="s">
        <v>34</v>
      </c>
      <c r="X290" s="20"/>
      <c r="Y290" s="26">
        <v>46.4772222216125</v>
      </c>
      <c r="Z290" s="22" t="s">
        <v>35</v>
      </c>
      <c r="AA290" s="27" t="s">
        <v>34</v>
      </c>
      <c r="AB290" s="27" t="s">
        <v>31</v>
      </c>
      <c r="AC290" s="28" t="s">
        <v>31</v>
      </c>
      <c r="AD290" s="28" t="s">
        <v>31</v>
      </c>
    </row>
    <row r="291" spans="1:30" ht="14.55" customHeight="1" x14ac:dyDescent="0.4">
      <c r="A291" s="20">
        <v>1</v>
      </c>
      <c r="B291" s="20">
        <v>295</v>
      </c>
      <c r="C291" s="21">
        <v>56</v>
      </c>
      <c r="D291" s="22" t="s">
        <v>30</v>
      </c>
      <c r="E291" s="22">
        <v>0</v>
      </c>
      <c r="F291" s="22">
        <v>1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3">
        <v>44692.537499999999</v>
      </c>
      <c r="O291" s="23">
        <v>44700</v>
      </c>
      <c r="P291" s="24">
        <f t="shared" si="4"/>
        <v>8.4625000000014605</v>
      </c>
      <c r="Q291" s="20" t="s">
        <v>31</v>
      </c>
      <c r="R291" s="20" t="s">
        <v>31</v>
      </c>
      <c r="S291" s="20" t="s">
        <v>32</v>
      </c>
      <c r="T291" s="20">
        <v>9478.48</v>
      </c>
      <c r="U291" s="22" t="s">
        <v>33</v>
      </c>
      <c r="V291" s="25">
        <v>44694.5183217593</v>
      </c>
      <c r="W291" s="20" t="s">
        <v>34</v>
      </c>
      <c r="X291" s="20"/>
      <c r="Y291" s="26">
        <v>67.944722222455297</v>
      </c>
      <c r="Z291" s="22" t="s">
        <v>35</v>
      </c>
      <c r="AA291" s="27" t="s">
        <v>34</v>
      </c>
      <c r="AB291" s="27" t="s">
        <v>31</v>
      </c>
      <c r="AC291" s="28" t="s">
        <v>31</v>
      </c>
      <c r="AD291" s="28" t="s">
        <v>31</v>
      </c>
    </row>
    <row r="292" spans="1:30" ht="14.55" customHeight="1" x14ac:dyDescent="0.4">
      <c r="A292" s="20">
        <v>1</v>
      </c>
      <c r="B292" s="20">
        <v>296</v>
      </c>
      <c r="C292" s="21">
        <v>56</v>
      </c>
      <c r="D292" s="22" t="s">
        <v>30</v>
      </c>
      <c r="E292" s="22">
        <v>0</v>
      </c>
      <c r="F292" s="22">
        <v>1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3">
        <v>44964.491666666698</v>
      </c>
      <c r="O292" s="23">
        <v>44978</v>
      </c>
      <c r="P292" s="24">
        <f t="shared" si="4"/>
        <v>14.5083333333023</v>
      </c>
      <c r="Q292" s="20" t="s">
        <v>31</v>
      </c>
      <c r="R292" s="20" t="s">
        <v>31</v>
      </c>
      <c r="S292" s="20" t="s">
        <v>32</v>
      </c>
      <c r="T292" s="20">
        <v>22429.14</v>
      </c>
      <c r="U292" s="20" t="s">
        <v>36</v>
      </c>
      <c r="V292" s="25">
        <v>44966.692939814799</v>
      </c>
      <c r="W292" s="20" t="s">
        <v>34</v>
      </c>
      <c r="X292" s="20"/>
      <c r="Y292" s="26">
        <v>42.691944443970002</v>
      </c>
      <c r="Z292" s="22" t="s">
        <v>35</v>
      </c>
      <c r="AA292" s="27" t="s">
        <v>34</v>
      </c>
      <c r="AB292" s="27" t="s">
        <v>31</v>
      </c>
      <c r="AC292" s="28" t="s">
        <v>31</v>
      </c>
      <c r="AD292" s="28" t="s">
        <v>31</v>
      </c>
    </row>
    <row r="293" spans="1:30" ht="14.55" customHeight="1" x14ac:dyDescent="0.4">
      <c r="A293" s="20">
        <v>1</v>
      </c>
      <c r="B293" s="20">
        <v>297</v>
      </c>
      <c r="C293" s="21">
        <v>60</v>
      </c>
      <c r="D293" s="22" t="s">
        <v>30</v>
      </c>
      <c r="E293" s="22">
        <v>0</v>
      </c>
      <c r="F293" s="22">
        <v>1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3">
        <v>44811.640277777798</v>
      </c>
      <c r="O293" s="23">
        <v>44825</v>
      </c>
      <c r="P293" s="24">
        <f t="shared" si="4"/>
        <v>14.3597222222015</v>
      </c>
      <c r="Q293" s="20" t="s">
        <v>31</v>
      </c>
      <c r="R293" s="20" t="s">
        <v>31</v>
      </c>
      <c r="S293" s="20" t="s">
        <v>32</v>
      </c>
      <c r="T293" s="20">
        <v>18637.439999999999</v>
      </c>
      <c r="U293" s="20" t="s">
        <v>36</v>
      </c>
      <c r="V293" s="25">
        <v>44817.710254629601</v>
      </c>
      <c r="W293" s="20" t="s">
        <v>34</v>
      </c>
      <c r="X293" s="20"/>
      <c r="Y293" s="26">
        <v>40.175000001560001</v>
      </c>
      <c r="Z293" s="22" t="s">
        <v>35</v>
      </c>
      <c r="AA293" s="27" t="s">
        <v>34</v>
      </c>
      <c r="AB293" s="27" t="s">
        <v>31</v>
      </c>
      <c r="AC293" s="28" t="s">
        <v>31</v>
      </c>
      <c r="AD293" s="28" t="s">
        <v>31</v>
      </c>
    </row>
    <row r="294" spans="1:30" ht="14.55" customHeight="1" x14ac:dyDescent="0.4">
      <c r="A294" s="20">
        <v>1</v>
      </c>
      <c r="B294" s="20">
        <v>298</v>
      </c>
      <c r="C294" s="21">
        <v>62</v>
      </c>
      <c r="D294" s="22" t="s">
        <v>30</v>
      </c>
      <c r="E294" s="22">
        <v>0</v>
      </c>
      <c r="F294" s="22">
        <v>1</v>
      </c>
      <c r="G294" s="22">
        <v>1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3">
        <v>43917.588194444397</v>
      </c>
      <c r="O294" s="23">
        <v>43939</v>
      </c>
      <c r="P294" s="24">
        <f t="shared" si="4"/>
        <v>22.4118055556028</v>
      </c>
      <c r="Q294" s="20" t="s">
        <v>31</v>
      </c>
      <c r="R294" s="20" t="s">
        <v>31</v>
      </c>
      <c r="S294" s="20" t="s">
        <v>32</v>
      </c>
      <c r="T294" s="26">
        <v>126112.5</v>
      </c>
      <c r="U294" s="20" t="s">
        <v>36</v>
      </c>
      <c r="V294" s="25">
        <v>43921.4922337963</v>
      </c>
      <c r="W294" s="20" t="s">
        <v>44</v>
      </c>
      <c r="X294" s="20"/>
      <c r="Y294" s="26">
        <v>69.029166667198297</v>
      </c>
      <c r="Z294" s="22" t="s">
        <v>35</v>
      </c>
      <c r="AA294" s="27">
        <v>1</v>
      </c>
      <c r="AB294" s="27" t="s">
        <v>31</v>
      </c>
      <c r="AC294" s="28">
        <v>1</v>
      </c>
      <c r="AD294" s="28" t="s">
        <v>31</v>
      </c>
    </row>
    <row r="295" spans="1:30" ht="14.55" customHeight="1" x14ac:dyDescent="0.4">
      <c r="A295" s="20">
        <v>1</v>
      </c>
      <c r="B295" s="20">
        <v>299</v>
      </c>
      <c r="C295" s="21">
        <v>63</v>
      </c>
      <c r="D295" s="22" t="s">
        <v>30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3">
        <v>44362.6</v>
      </c>
      <c r="O295" s="23">
        <v>44375</v>
      </c>
      <c r="P295" s="24">
        <f t="shared" si="4"/>
        <v>13.4000000000015</v>
      </c>
      <c r="Q295" s="20" t="s">
        <v>31</v>
      </c>
      <c r="R295" s="20" t="s">
        <v>31</v>
      </c>
      <c r="S295" s="20" t="s">
        <v>32</v>
      </c>
      <c r="T295" s="26">
        <v>12155.4</v>
      </c>
      <c r="U295" s="20" t="s">
        <v>36</v>
      </c>
      <c r="V295" s="25">
        <v>44364.500196759298</v>
      </c>
      <c r="W295" s="20" t="s">
        <v>34</v>
      </c>
      <c r="X295" s="20"/>
      <c r="Y295" s="26">
        <v>46.850555553683101</v>
      </c>
      <c r="Z295" s="22" t="s">
        <v>35</v>
      </c>
      <c r="AA295" s="27" t="s">
        <v>34</v>
      </c>
      <c r="AB295" s="27" t="s">
        <v>31</v>
      </c>
      <c r="AC295" s="28" t="s">
        <v>31</v>
      </c>
      <c r="AD295" s="28" t="s">
        <v>31</v>
      </c>
    </row>
    <row r="296" spans="1:30" ht="14.55" customHeight="1" x14ac:dyDescent="0.4">
      <c r="A296" s="20">
        <v>1</v>
      </c>
      <c r="B296" s="20">
        <v>300</v>
      </c>
      <c r="C296" s="21">
        <v>64</v>
      </c>
      <c r="D296" s="22" t="s">
        <v>30</v>
      </c>
      <c r="E296" s="22">
        <v>0</v>
      </c>
      <c r="F296" s="22">
        <v>0</v>
      </c>
      <c r="G296" s="22">
        <v>1</v>
      </c>
      <c r="H296" s="22">
        <v>0</v>
      </c>
      <c r="I296" s="22">
        <v>0</v>
      </c>
      <c r="J296" s="22">
        <v>0</v>
      </c>
      <c r="K296" s="22">
        <v>0</v>
      </c>
      <c r="L296" s="22">
        <v>1</v>
      </c>
      <c r="M296" s="22">
        <v>0</v>
      </c>
      <c r="N296" s="23">
        <v>44430.405555555597</v>
      </c>
      <c r="O296" s="23">
        <v>44443</v>
      </c>
      <c r="P296" s="24">
        <f t="shared" si="4"/>
        <v>13.5944444444031</v>
      </c>
      <c r="Q296" s="20" t="s">
        <v>31</v>
      </c>
      <c r="R296" s="20" t="s">
        <v>31</v>
      </c>
      <c r="S296" s="20" t="s">
        <v>32</v>
      </c>
      <c r="T296" s="26">
        <v>11356.9</v>
      </c>
      <c r="U296" s="20" t="s">
        <v>40</v>
      </c>
      <c r="V296" s="25">
        <v>44434.642083333303</v>
      </c>
      <c r="W296" s="20" t="s">
        <v>34</v>
      </c>
      <c r="X296" s="20"/>
      <c r="Y296" s="26">
        <v>44.7197222230607</v>
      </c>
      <c r="Z296" s="22" t="s">
        <v>35</v>
      </c>
      <c r="AA296" s="27" t="s">
        <v>34</v>
      </c>
      <c r="AB296" s="27" t="s">
        <v>31</v>
      </c>
      <c r="AC296" s="28" t="s">
        <v>31</v>
      </c>
      <c r="AD296" s="28" t="s">
        <v>31</v>
      </c>
    </row>
    <row r="297" spans="1:30" ht="14.55" customHeight="1" x14ac:dyDescent="0.4">
      <c r="A297" s="20">
        <v>1</v>
      </c>
      <c r="B297" s="20">
        <v>301</v>
      </c>
      <c r="C297" s="21">
        <v>62</v>
      </c>
      <c r="D297" s="22" t="s">
        <v>30</v>
      </c>
      <c r="E297" s="22">
        <v>0</v>
      </c>
      <c r="F297" s="22">
        <v>1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3">
        <v>44354.597916666702</v>
      </c>
      <c r="O297" s="23">
        <v>44363</v>
      </c>
      <c r="P297" s="24">
        <f t="shared" si="4"/>
        <v>9.4020833332979201</v>
      </c>
      <c r="Q297" s="20" t="s">
        <v>31</v>
      </c>
      <c r="R297" s="20" t="s">
        <v>31</v>
      </c>
      <c r="S297" s="20" t="s">
        <v>32</v>
      </c>
      <c r="T297" s="20">
        <v>11108.37</v>
      </c>
      <c r="U297" s="20" t="s">
        <v>39</v>
      </c>
      <c r="V297" s="25">
        <v>44358.633148148103</v>
      </c>
      <c r="W297" s="20" t="s">
        <v>34</v>
      </c>
      <c r="X297" s="20"/>
      <c r="Y297" s="26">
        <v>44.815000000758999</v>
      </c>
      <c r="Z297" s="22" t="s">
        <v>35</v>
      </c>
      <c r="AA297" s="27" t="s">
        <v>34</v>
      </c>
      <c r="AB297" s="27" t="s">
        <v>31</v>
      </c>
      <c r="AC297" s="28" t="s">
        <v>31</v>
      </c>
      <c r="AD297" s="28" t="s">
        <v>31</v>
      </c>
    </row>
    <row r="298" spans="1:30" ht="14.55" customHeight="1" x14ac:dyDescent="0.4">
      <c r="A298" s="20">
        <v>1</v>
      </c>
      <c r="B298" s="20">
        <v>302</v>
      </c>
      <c r="C298" s="21">
        <v>63</v>
      </c>
      <c r="D298" s="22" t="s">
        <v>30</v>
      </c>
      <c r="E298" s="22">
        <v>0</v>
      </c>
      <c r="F298" s="22">
        <v>0</v>
      </c>
      <c r="G298" s="22">
        <v>0</v>
      </c>
      <c r="H298" s="22">
        <v>1</v>
      </c>
      <c r="I298" s="22">
        <v>0</v>
      </c>
      <c r="J298" s="22">
        <v>0</v>
      </c>
      <c r="K298" s="22">
        <v>0</v>
      </c>
      <c r="L298" s="22">
        <v>0</v>
      </c>
      <c r="M298" s="22">
        <v>1</v>
      </c>
      <c r="N298" s="23">
        <v>44914.413194444402</v>
      </c>
      <c r="O298" s="23">
        <v>44940</v>
      </c>
      <c r="P298" s="24">
        <f t="shared" si="4"/>
        <v>26.586805555598399</v>
      </c>
      <c r="Q298" s="20" t="s">
        <v>31</v>
      </c>
      <c r="R298" s="20" t="s">
        <v>31</v>
      </c>
      <c r="S298" s="20" t="s">
        <v>32</v>
      </c>
      <c r="T298" s="20">
        <v>157457.04</v>
      </c>
      <c r="U298" s="20" t="s">
        <v>40</v>
      </c>
      <c r="V298" s="25">
        <v>44915.4978819444</v>
      </c>
      <c r="W298" s="20" t="s">
        <v>54</v>
      </c>
      <c r="X298" s="20"/>
      <c r="Y298" s="26">
        <v>69.154166668828097</v>
      </c>
      <c r="Z298" s="22" t="s">
        <v>35</v>
      </c>
      <c r="AA298" s="27">
        <v>1</v>
      </c>
      <c r="AB298" s="27" t="s">
        <v>31</v>
      </c>
      <c r="AC298" s="28">
        <v>1</v>
      </c>
      <c r="AD298" s="28" t="s">
        <v>31</v>
      </c>
    </row>
    <row r="299" spans="1:30" ht="14.55" customHeight="1" x14ac:dyDescent="0.4">
      <c r="A299" s="20">
        <v>1</v>
      </c>
      <c r="B299" s="20">
        <v>303</v>
      </c>
      <c r="C299" s="21">
        <v>61</v>
      </c>
      <c r="D299" s="22" t="s">
        <v>30</v>
      </c>
      <c r="E299" s="22">
        <v>1</v>
      </c>
      <c r="F299" s="22">
        <v>1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3">
        <v>44769.508333333302</v>
      </c>
      <c r="O299" s="23">
        <v>44781</v>
      </c>
      <c r="P299" s="24">
        <f t="shared" si="4"/>
        <v>12.4916666666977</v>
      </c>
      <c r="Q299" s="20" t="s">
        <v>31</v>
      </c>
      <c r="R299" s="20" t="s">
        <v>31</v>
      </c>
      <c r="S299" s="22" t="s">
        <v>32</v>
      </c>
      <c r="T299" s="20">
        <v>13737.17</v>
      </c>
      <c r="U299" s="20" t="s">
        <v>40</v>
      </c>
      <c r="V299" s="25">
        <v>44775.504652777803</v>
      </c>
      <c r="W299" s="20" t="s">
        <v>34</v>
      </c>
      <c r="X299" s="20"/>
      <c r="Y299" s="26">
        <v>45.748333331895999</v>
      </c>
      <c r="Z299" s="22" t="s">
        <v>35</v>
      </c>
      <c r="AA299" s="27" t="s">
        <v>34</v>
      </c>
      <c r="AB299" s="27" t="s">
        <v>31</v>
      </c>
      <c r="AC299" s="28" t="s">
        <v>31</v>
      </c>
      <c r="AD299" s="28" t="s">
        <v>31</v>
      </c>
    </row>
    <row r="300" spans="1:30" ht="14.55" customHeight="1" x14ac:dyDescent="0.4">
      <c r="A300" s="20">
        <v>1</v>
      </c>
      <c r="B300" s="20">
        <v>304</v>
      </c>
      <c r="C300" s="21">
        <v>63</v>
      </c>
      <c r="D300" s="22" t="s">
        <v>30</v>
      </c>
      <c r="E300" s="22">
        <v>0</v>
      </c>
      <c r="F300" s="22">
        <v>0</v>
      </c>
      <c r="G300" s="22">
        <v>1</v>
      </c>
      <c r="H300" s="22">
        <v>1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3">
        <v>44509.6069444444</v>
      </c>
      <c r="O300" s="23">
        <v>44517</v>
      </c>
      <c r="P300" s="24">
        <f t="shared" si="4"/>
        <v>8.3930555555998598</v>
      </c>
      <c r="Q300" s="20" t="s">
        <v>31</v>
      </c>
      <c r="R300" s="20" t="s">
        <v>31</v>
      </c>
      <c r="S300" s="22" t="s">
        <v>32</v>
      </c>
      <c r="T300" s="20">
        <v>8985.17</v>
      </c>
      <c r="U300" s="20" t="s">
        <v>39</v>
      </c>
      <c r="V300" s="25">
        <v>44512.706608796303</v>
      </c>
      <c r="W300" s="20" t="s">
        <v>48</v>
      </c>
      <c r="X300" s="20"/>
      <c r="Y300" s="26">
        <v>238.592500000668</v>
      </c>
      <c r="Z300" s="22" t="s">
        <v>35</v>
      </c>
      <c r="AA300" s="27">
        <v>1</v>
      </c>
      <c r="AB300" s="27" t="s">
        <v>31</v>
      </c>
      <c r="AC300" s="28">
        <v>1</v>
      </c>
      <c r="AD300" s="28" t="s">
        <v>31</v>
      </c>
    </row>
    <row r="301" spans="1:30" ht="14.55" customHeight="1" x14ac:dyDescent="0.4">
      <c r="A301" s="20">
        <v>1</v>
      </c>
      <c r="B301" s="20">
        <v>305</v>
      </c>
      <c r="C301" s="21">
        <v>60</v>
      </c>
      <c r="D301" s="22" t="s">
        <v>30</v>
      </c>
      <c r="E301" s="22">
        <v>1</v>
      </c>
      <c r="F301" s="22">
        <v>1</v>
      </c>
      <c r="G301" s="22">
        <v>1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3">
        <v>44764.656944444403</v>
      </c>
      <c r="O301" s="23">
        <v>44774</v>
      </c>
      <c r="P301" s="24">
        <f t="shared" si="4"/>
        <v>10.3430555555969</v>
      </c>
      <c r="Q301" s="20" t="s">
        <v>31</v>
      </c>
      <c r="R301" s="20" t="s">
        <v>31</v>
      </c>
      <c r="S301" s="20" t="s">
        <v>32</v>
      </c>
      <c r="T301" s="20">
        <v>9475.86</v>
      </c>
      <c r="U301" s="22" t="s">
        <v>33</v>
      </c>
      <c r="V301" s="25">
        <v>44769.653101851902</v>
      </c>
      <c r="W301" s="20" t="s">
        <v>34</v>
      </c>
      <c r="X301" s="20"/>
      <c r="Y301" s="26">
        <v>41.501111109566402</v>
      </c>
      <c r="Z301" s="22" t="s">
        <v>35</v>
      </c>
      <c r="AA301" s="27" t="s">
        <v>34</v>
      </c>
      <c r="AB301" s="27" t="s">
        <v>31</v>
      </c>
      <c r="AC301" s="28" t="s">
        <v>31</v>
      </c>
      <c r="AD301" s="28" t="s">
        <v>31</v>
      </c>
    </row>
    <row r="302" spans="1:30" ht="14.55" customHeight="1" x14ac:dyDescent="0.4">
      <c r="A302" s="20">
        <v>1</v>
      </c>
      <c r="B302" s="20">
        <v>306</v>
      </c>
      <c r="C302" s="21">
        <v>60</v>
      </c>
      <c r="D302" s="22" t="s">
        <v>30</v>
      </c>
      <c r="E302" s="22">
        <v>0</v>
      </c>
      <c r="F302" s="22">
        <v>1</v>
      </c>
      <c r="G302" s="22">
        <v>0</v>
      </c>
      <c r="H302" s="22">
        <v>0</v>
      </c>
      <c r="I302" s="22">
        <v>1</v>
      </c>
      <c r="J302" s="22">
        <v>0</v>
      </c>
      <c r="K302" s="22">
        <v>0</v>
      </c>
      <c r="L302" s="22">
        <v>0</v>
      </c>
      <c r="M302" s="22">
        <v>0</v>
      </c>
      <c r="N302" s="23">
        <v>44280.59375</v>
      </c>
      <c r="O302" s="23">
        <v>44288</v>
      </c>
      <c r="P302" s="24">
        <f t="shared" si="4"/>
        <v>8.40625</v>
      </c>
      <c r="Q302" s="20" t="s">
        <v>31</v>
      </c>
      <c r="R302" s="20" t="s">
        <v>31</v>
      </c>
      <c r="S302" s="22" t="s">
        <v>32</v>
      </c>
      <c r="T302" s="26">
        <v>12530.1</v>
      </c>
      <c r="U302" s="20" t="s">
        <v>39</v>
      </c>
      <c r="V302" s="25">
        <v>44281.484537037002</v>
      </c>
      <c r="W302" s="20" t="s">
        <v>34</v>
      </c>
      <c r="X302" s="20"/>
      <c r="Y302" s="26">
        <v>262.930833333463</v>
      </c>
      <c r="Z302" s="22" t="s">
        <v>35</v>
      </c>
      <c r="AA302" s="27" t="s">
        <v>34</v>
      </c>
      <c r="AB302" s="27" t="s">
        <v>31</v>
      </c>
      <c r="AC302" s="28" t="s">
        <v>31</v>
      </c>
      <c r="AD302" s="28" t="s">
        <v>31</v>
      </c>
    </row>
    <row r="303" spans="1:30" ht="14.55" customHeight="1" x14ac:dyDescent="0.4">
      <c r="A303" s="20">
        <v>1</v>
      </c>
      <c r="B303" s="20">
        <v>307</v>
      </c>
      <c r="C303" s="21">
        <v>63</v>
      </c>
      <c r="D303" s="22" t="s">
        <v>30</v>
      </c>
      <c r="E303" s="22">
        <v>0</v>
      </c>
      <c r="F303" s="22">
        <v>1</v>
      </c>
      <c r="G303" s="22">
        <v>0</v>
      </c>
      <c r="H303" s="22">
        <v>0</v>
      </c>
      <c r="I303" s="22">
        <v>1</v>
      </c>
      <c r="J303" s="22">
        <v>0</v>
      </c>
      <c r="K303" s="22">
        <v>0</v>
      </c>
      <c r="L303" s="22">
        <v>0</v>
      </c>
      <c r="M303" s="22">
        <v>0</v>
      </c>
      <c r="N303" s="23">
        <v>44305.603472222203</v>
      </c>
      <c r="O303" s="23">
        <v>44315</v>
      </c>
      <c r="P303" s="24">
        <f t="shared" si="4"/>
        <v>10.396527777797001</v>
      </c>
      <c r="Q303" s="20" t="s">
        <v>31</v>
      </c>
      <c r="R303" s="20" t="s">
        <v>31</v>
      </c>
      <c r="S303" s="22" t="s">
        <v>32</v>
      </c>
      <c r="T303" s="20">
        <v>16969.03</v>
      </c>
      <c r="U303" s="20" t="s">
        <v>39</v>
      </c>
      <c r="V303" s="25">
        <v>44313.477245370399</v>
      </c>
      <c r="W303" s="20" t="s">
        <v>66</v>
      </c>
      <c r="X303" s="20"/>
      <c r="Y303" s="26">
        <v>48.176111109671197</v>
      </c>
      <c r="Z303" s="22" t="s">
        <v>35</v>
      </c>
      <c r="AA303" s="27">
        <v>0</v>
      </c>
      <c r="AB303" s="27" t="s">
        <v>31</v>
      </c>
      <c r="AC303" s="28" t="s">
        <v>31</v>
      </c>
      <c r="AD303" s="28" t="s">
        <v>31</v>
      </c>
    </row>
    <row r="304" spans="1:30" ht="14.55" customHeight="1" x14ac:dyDescent="0.4">
      <c r="A304" s="20">
        <v>1</v>
      </c>
      <c r="B304" s="20">
        <v>308</v>
      </c>
      <c r="C304" s="21">
        <v>63</v>
      </c>
      <c r="D304" s="22" t="s">
        <v>30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1</v>
      </c>
      <c r="L304" s="22">
        <v>0</v>
      </c>
      <c r="M304" s="22">
        <v>0</v>
      </c>
      <c r="N304" s="23">
        <v>43911.59375</v>
      </c>
      <c r="O304" s="23">
        <v>43919</v>
      </c>
      <c r="P304" s="24">
        <f t="shared" si="4"/>
        <v>8.40625</v>
      </c>
      <c r="Q304" s="20" t="s">
        <v>31</v>
      </c>
      <c r="R304" s="20" t="s">
        <v>31</v>
      </c>
      <c r="S304" s="20" t="s">
        <v>32</v>
      </c>
      <c r="T304" s="26">
        <v>9620.2999999999993</v>
      </c>
      <c r="U304" s="20" t="s">
        <v>36</v>
      </c>
      <c r="V304" s="25">
        <v>43916.452523148197</v>
      </c>
      <c r="W304" s="20" t="s">
        <v>34</v>
      </c>
      <c r="X304" s="20"/>
      <c r="Y304" s="26">
        <v>47.8799999976181</v>
      </c>
      <c r="Z304" s="22" t="s">
        <v>35</v>
      </c>
      <c r="AA304" s="27" t="s">
        <v>34</v>
      </c>
      <c r="AB304" s="27" t="s">
        <v>31</v>
      </c>
      <c r="AC304" s="28" t="s">
        <v>31</v>
      </c>
      <c r="AD304" s="28" t="s">
        <v>31</v>
      </c>
    </row>
    <row r="305" spans="1:30" ht="14.55" customHeight="1" x14ac:dyDescent="0.4">
      <c r="A305" s="20">
        <v>1</v>
      </c>
      <c r="B305" s="20">
        <v>310</v>
      </c>
      <c r="C305" s="21">
        <v>60</v>
      </c>
      <c r="D305" s="22" t="s">
        <v>30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3">
        <v>44762.536805555603</v>
      </c>
      <c r="O305" s="23">
        <v>44790</v>
      </c>
      <c r="P305" s="24">
        <f t="shared" si="4"/>
        <v>28.4631944443972</v>
      </c>
      <c r="Q305" s="20" t="s">
        <v>31</v>
      </c>
      <c r="R305" s="20" t="s">
        <v>31</v>
      </c>
      <c r="S305" s="22" t="s">
        <v>32</v>
      </c>
      <c r="T305" s="20">
        <v>131420.85</v>
      </c>
      <c r="U305" s="20" t="s">
        <v>39</v>
      </c>
      <c r="V305" s="25">
        <v>44765.662337962996</v>
      </c>
      <c r="W305" s="20" t="s">
        <v>53</v>
      </c>
      <c r="X305" s="20"/>
      <c r="Y305" s="26">
        <v>65.349444444116699</v>
      </c>
      <c r="Z305" s="22" t="s">
        <v>35</v>
      </c>
      <c r="AA305" s="27">
        <v>1</v>
      </c>
      <c r="AB305" s="27" t="s">
        <v>31</v>
      </c>
      <c r="AC305" s="28">
        <v>1</v>
      </c>
      <c r="AD305" s="28" t="s">
        <v>31</v>
      </c>
    </row>
    <row r="306" spans="1:30" ht="14.55" customHeight="1" x14ac:dyDescent="0.4">
      <c r="A306" s="20">
        <v>1</v>
      </c>
      <c r="B306" s="20">
        <v>311</v>
      </c>
      <c r="C306" s="21">
        <v>60</v>
      </c>
      <c r="D306" s="22" t="s">
        <v>30</v>
      </c>
      <c r="E306" s="22">
        <v>0</v>
      </c>
      <c r="F306" s="22">
        <v>1</v>
      </c>
      <c r="G306" s="22">
        <v>0</v>
      </c>
      <c r="H306" s="22">
        <v>1</v>
      </c>
      <c r="I306" s="22">
        <v>1</v>
      </c>
      <c r="J306" s="22">
        <v>0</v>
      </c>
      <c r="K306" s="22">
        <v>1</v>
      </c>
      <c r="L306" s="22">
        <v>0</v>
      </c>
      <c r="M306" s="22">
        <v>0</v>
      </c>
      <c r="N306" s="23">
        <v>44999.652083333298</v>
      </c>
      <c r="O306" s="23">
        <v>45005</v>
      </c>
      <c r="P306" s="24">
        <f t="shared" si="4"/>
        <v>6.3479166667020799</v>
      </c>
      <c r="Q306" s="20" t="s">
        <v>31</v>
      </c>
      <c r="R306" s="20" t="s">
        <v>31</v>
      </c>
      <c r="S306" s="20" t="s">
        <v>32</v>
      </c>
      <c r="T306" s="20">
        <v>8549.7900000000009</v>
      </c>
      <c r="U306" s="20" t="s">
        <v>36</v>
      </c>
      <c r="V306" s="25">
        <v>45002.5768171296</v>
      </c>
      <c r="W306" s="20" t="s">
        <v>34</v>
      </c>
      <c r="X306" s="20"/>
      <c r="Y306" s="26">
        <v>43.678888888796799</v>
      </c>
      <c r="Z306" s="22" t="s">
        <v>35</v>
      </c>
      <c r="AA306" s="27" t="s">
        <v>34</v>
      </c>
      <c r="AB306" s="27" t="s">
        <v>31</v>
      </c>
      <c r="AC306" s="28" t="s">
        <v>31</v>
      </c>
      <c r="AD306" s="28" t="s">
        <v>31</v>
      </c>
    </row>
    <row r="307" spans="1:30" ht="14.55" customHeight="1" x14ac:dyDescent="0.4">
      <c r="A307" s="20">
        <v>1</v>
      </c>
      <c r="B307" s="20">
        <v>312</v>
      </c>
      <c r="C307" s="21">
        <v>60</v>
      </c>
      <c r="D307" s="22" t="s">
        <v>30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1</v>
      </c>
      <c r="L307" s="22">
        <v>0</v>
      </c>
      <c r="M307" s="22">
        <v>0</v>
      </c>
      <c r="N307" s="23">
        <v>44354.614583333299</v>
      </c>
      <c r="O307" s="23">
        <v>44359</v>
      </c>
      <c r="P307" s="24">
        <f t="shared" si="4"/>
        <v>5.3854166667006202</v>
      </c>
      <c r="Q307" s="20" t="s">
        <v>31</v>
      </c>
      <c r="R307" s="20" t="s">
        <v>31</v>
      </c>
      <c r="S307" s="22" t="s">
        <v>32</v>
      </c>
      <c r="T307" s="20">
        <v>9770.75</v>
      </c>
      <c r="U307" s="20" t="s">
        <v>36</v>
      </c>
      <c r="V307" s="25">
        <v>44357.427199074104</v>
      </c>
      <c r="W307" s="20" t="s">
        <v>34</v>
      </c>
      <c r="X307" s="20"/>
      <c r="Y307" s="26">
        <v>49.953055555117302</v>
      </c>
      <c r="Z307" s="22" t="s">
        <v>35</v>
      </c>
      <c r="AA307" s="27" t="s">
        <v>34</v>
      </c>
      <c r="AB307" s="27" t="s">
        <v>31</v>
      </c>
      <c r="AC307" s="28" t="s">
        <v>31</v>
      </c>
      <c r="AD307" s="28" t="s">
        <v>31</v>
      </c>
    </row>
    <row r="308" spans="1:30" ht="14.55" customHeight="1" x14ac:dyDescent="0.4">
      <c r="A308" s="20">
        <v>1</v>
      </c>
      <c r="B308" s="20">
        <v>313</v>
      </c>
      <c r="C308" s="21">
        <v>63</v>
      </c>
      <c r="D308" s="22" t="s">
        <v>30</v>
      </c>
      <c r="E308" s="22">
        <v>1</v>
      </c>
      <c r="F308" s="22">
        <v>0</v>
      </c>
      <c r="G308" s="22">
        <v>0</v>
      </c>
      <c r="H308" s="22">
        <v>1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3">
        <v>44553.654861111099</v>
      </c>
      <c r="O308" s="23">
        <v>44561</v>
      </c>
      <c r="P308" s="24">
        <f t="shared" si="4"/>
        <v>8.3451388889006903</v>
      </c>
      <c r="Q308" s="20" t="s">
        <v>31</v>
      </c>
      <c r="R308" s="20" t="s">
        <v>31</v>
      </c>
      <c r="S308" s="20" t="s">
        <v>32</v>
      </c>
      <c r="T308" s="20">
        <v>7979.96</v>
      </c>
      <c r="U308" s="20" t="s">
        <v>39</v>
      </c>
      <c r="V308" s="25">
        <v>44557.7190162037</v>
      </c>
      <c r="W308" s="20" t="s">
        <v>34</v>
      </c>
      <c r="X308" s="20"/>
      <c r="Y308" s="26">
        <v>232.026388888713</v>
      </c>
      <c r="Z308" s="22" t="s">
        <v>35</v>
      </c>
      <c r="AA308" s="27" t="s">
        <v>34</v>
      </c>
      <c r="AB308" s="27" t="s">
        <v>31</v>
      </c>
      <c r="AC308" s="28" t="s">
        <v>31</v>
      </c>
      <c r="AD308" s="28" t="s">
        <v>31</v>
      </c>
    </row>
    <row r="309" spans="1:30" ht="14.55" customHeight="1" x14ac:dyDescent="0.4">
      <c r="A309" s="20">
        <v>1</v>
      </c>
      <c r="B309" s="20">
        <v>314</v>
      </c>
      <c r="C309" s="21">
        <v>64</v>
      </c>
      <c r="D309" s="22" t="s">
        <v>30</v>
      </c>
      <c r="E309" s="22">
        <v>0</v>
      </c>
      <c r="F309" s="22">
        <v>0</v>
      </c>
      <c r="G309" s="22">
        <v>0</v>
      </c>
      <c r="H309" s="22">
        <v>0</v>
      </c>
      <c r="I309" s="22">
        <v>1</v>
      </c>
      <c r="J309" s="22">
        <v>0</v>
      </c>
      <c r="K309" s="22">
        <v>0</v>
      </c>
      <c r="L309" s="22">
        <v>0</v>
      </c>
      <c r="M309" s="22">
        <v>0</v>
      </c>
      <c r="N309" s="23">
        <v>44370.607638888898</v>
      </c>
      <c r="O309" s="23">
        <v>44378</v>
      </c>
      <c r="P309" s="24">
        <f t="shared" si="4"/>
        <v>8.3923611111022201</v>
      </c>
      <c r="Q309" s="20" t="s">
        <v>31</v>
      </c>
      <c r="R309" s="20" t="s">
        <v>31</v>
      </c>
      <c r="S309" s="20" t="s">
        <v>32</v>
      </c>
      <c r="T309" s="20">
        <v>15235.31</v>
      </c>
      <c r="U309" s="20" t="s">
        <v>39</v>
      </c>
      <c r="V309" s="25">
        <v>44376.490127314799</v>
      </c>
      <c r="W309" s="20" t="s">
        <v>34</v>
      </c>
      <c r="X309" s="20"/>
      <c r="Y309" s="26">
        <v>46.7516666664742</v>
      </c>
      <c r="Z309" s="22" t="s">
        <v>35</v>
      </c>
      <c r="AA309" s="27" t="s">
        <v>34</v>
      </c>
      <c r="AB309" s="27" t="s">
        <v>31</v>
      </c>
      <c r="AC309" s="28" t="s">
        <v>31</v>
      </c>
      <c r="AD309" s="28" t="s">
        <v>31</v>
      </c>
    </row>
    <row r="310" spans="1:30" ht="14.55" customHeight="1" x14ac:dyDescent="0.4">
      <c r="A310" s="20">
        <v>1</v>
      </c>
      <c r="B310" s="20">
        <v>315</v>
      </c>
      <c r="C310" s="21">
        <v>64</v>
      </c>
      <c r="D310" s="22" t="s">
        <v>30</v>
      </c>
      <c r="E310" s="22">
        <v>0</v>
      </c>
      <c r="F310" s="22">
        <v>0</v>
      </c>
      <c r="G310" s="22">
        <v>1</v>
      </c>
      <c r="H310" s="22">
        <v>1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3">
        <v>44506.588888888902</v>
      </c>
      <c r="O310" s="23">
        <v>44511</v>
      </c>
      <c r="P310" s="24">
        <f t="shared" si="4"/>
        <v>5.41111111109785</v>
      </c>
      <c r="Q310" s="20" t="s">
        <v>31</v>
      </c>
      <c r="R310" s="20" t="s">
        <v>31</v>
      </c>
      <c r="S310" s="22" t="s">
        <v>32</v>
      </c>
      <c r="T310" s="20">
        <v>5896.75</v>
      </c>
      <c r="U310" s="22" t="s">
        <v>39</v>
      </c>
      <c r="V310" s="25">
        <v>44509.518020833297</v>
      </c>
      <c r="W310" s="20" t="s">
        <v>34</v>
      </c>
      <c r="X310" s="20"/>
      <c r="Y310" s="26">
        <v>45.753888890496498</v>
      </c>
      <c r="Z310" s="22" t="s">
        <v>35</v>
      </c>
      <c r="AA310" s="27" t="s">
        <v>34</v>
      </c>
      <c r="AB310" s="27" t="s">
        <v>31</v>
      </c>
      <c r="AC310" s="28" t="s">
        <v>31</v>
      </c>
      <c r="AD310" s="28" t="s">
        <v>31</v>
      </c>
    </row>
    <row r="311" spans="1:30" ht="14.55" customHeight="1" x14ac:dyDescent="0.4">
      <c r="A311" s="20">
        <v>1</v>
      </c>
      <c r="B311" s="20">
        <v>316</v>
      </c>
      <c r="C311" s="21">
        <v>64</v>
      </c>
      <c r="D311" s="22" t="s">
        <v>30</v>
      </c>
      <c r="E311" s="22">
        <v>0</v>
      </c>
      <c r="F311" s="22">
        <v>1</v>
      </c>
      <c r="G311" s="22">
        <v>1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3">
        <v>44416.690972222197</v>
      </c>
      <c r="O311" s="23">
        <v>44426</v>
      </c>
      <c r="P311" s="24">
        <f t="shared" si="4"/>
        <v>10.3090277778028</v>
      </c>
      <c r="Q311" s="20" t="s">
        <v>31</v>
      </c>
      <c r="R311" s="20" t="s">
        <v>31</v>
      </c>
      <c r="S311" s="20" t="s">
        <v>32</v>
      </c>
      <c r="T311" s="20">
        <v>21904.49</v>
      </c>
      <c r="U311" s="20" t="s">
        <v>36</v>
      </c>
      <c r="V311" s="25">
        <v>44420.644745370402</v>
      </c>
      <c r="W311" s="20" t="s">
        <v>34</v>
      </c>
      <c r="X311" s="20"/>
      <c r="Y311" s="26">
        <v>45.059166667226201</v>
      </c>
      <c r="Z311" s="22" t="s">
        <v>35</v>
      </c>
      <c r="AA311" s="27" t="s">
        <v>34</v>
      </c>
      <c r="AB311" s="27" t="s">
        <v>31</v>
      </c>
      <c r="AC311" s="28" t="s">
        <v>31</v>
      </c>
      <c r="AD311" s="28" t="s">
        <v>31</v>
      </c>
    </row>
    <row r="312" spans="1:30" ht="14.55" customHeight="1" x14ac:dyDescent="0.4">
      <c r="A312" s="20">
        <v>1</v>
      </c>
      <c r="B312" s="20">
        <v>317</v>
      </c>
      <c r="C312" s="21">
        <v>63</v>
      </c>
      <c r="D312" s="22" t="s">
        <v>30</v>
      </c>
      <c r="E312" s="22">
        <v>0</v>
      </c>
      <c r="F312" s="22">
        <v>1</v>
      </c>
      <c r="G312" s="22">
        <v>1</v>
      </c>
      <c r="H312" s="22">
        <v>1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3">
        <v>44813.614583333299</v>
      </c>
      <c r="O312" s="23">
        <v>44825</v>
      </c>
      <c r="P312" s="24">
        <f t="shared" si="4"/>
        <v>12.3854166667006</v>
      </c>
      <c r="Q312" s="20" t="s">
        <v>31</v>
      </c>
      <c r="R312" s="20" t="s">
        <v>31</v>
      </c>
      <c r="S312" s="22" t="s">
        <v>32</v>
      </c>
      <c r="T312" s="20">
        <v>23618.49</v>
      </c>
      <c r="U312" s="20" t="s">
        <v>40</v>
      </c>
      <c r="V312" s="25">
        <v>44817.638287037</v>
      </c>
      <c r="W312" s="20" t="s">
        <v>34</v>
      </c>
      <c r="X312" s="20"/>
      <c r="Y312" s="26">
        <v>41.902222223987302</v>
      </c>
      <c r="Z312" s="22" t="s">
        <v>35</v>
      </c>
      <c r="AA312" s="27" t="s">
        <v>34</v>
      </c>
      <c r="AB312" s="27" t="s">
        <v>31</v>
      </c>
      <c r="AC312" s="28" t="s">
        <v>31</v>
      </c>
      <c r="AD312" s="28" t="s">
        <v>31</v>
      </c>
    </row>
    <row r="313" spans="1:30" ht="14.55" customHeight="1" x14ac:dyDescent="0.4">
      <c r="A313" s="20">
        <v>1</v>
      </c>
      <c r="B313" s="20">
        <v>318</v>
      </c>
      <c r="C313" s="21">
        <v>64</v>
      </c>
      <c r="D313" s="22" t="s">
        <v>30</v>
      </c>
      <c r="E313" s="22">
        <v>0</v>
      </c>
      <c r="F313" s="22">
        <v>0</v>
      </c>
      <c r="G313" s="22">
        <v>1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3">
        <v>44469.740277777797</v>
      </c>
      <c r="O313" s="23">
        <v>44482</v>
      </c>
      <c r="P313" s="24">
        <f t="shared" si="4"/>
        <v>13.259722222202999</v>
      </c>
      <c r="Q313" s="20" t="s">
        <v>31</v>
      </c>
      <c r="R313" s="20" t="s">
        <v>31</v>
      </c>
      <c r="S313" s="20" t="s">
        <v>32</v>
      </c>
      <c r="T313" s="20">
        <v>129844.7</v>
      </c>
      <c r="U313" s="20" t="s">
        <v>36</v>
      </c>
      <c r="V313" s="25">
        <v>44470.487997685203</v>
      </c>
      <c r="W313" s="20" t="s">
        <v>67</v>
      </c>
      <c r="X313" s="20"/>
      <c r="Y313" s="26">
        <v>69.771666667191298</v>
      </c>
      <c r="Z313" s="22" t="s">
        <v>35</v>
      </c>
      <c r="AA313" s="27">
        <v>1</v>
      </c>
      <c r="AB313" s="27" t="s">
        <v>31</v>
      </c>
      <c r="AC313" s="28">
        <v>2</v>
      </c>
      <c r="AD313" s="28" t="s">
        <v>31</v>
      </c>
    </row>
    <row r="314" spans="1:30" ht="14.55" customHeight="1" x14ac:dyDescent="0.4">
      <c r="A314" s="20">
        <v>1</v>
      </c>
      <c r="B314" s="20">
        <v>319</v>
      </c>
      <c r="C314" s="21">
        <v>64</v>
      </c>
      <c r="D314" s="22" t="s">
        <v>30</v>
      </c>
      <c r="E314" s="22">
        <v>1</v>
      </c>
      <c r="F314" s="22">
        <v>1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3">
        <v>44502.336111111101</v>
      </c>
      <c r="O314" s="23">
        <v>44512</v>
      </c>
      <c r="P314" s="24">
        <f t="shared" si="4"/>
        <v>10.6638888888992</v>
      </c>
      <c r="Q314" s="20" t="s">
        <v>31</v>
      </c>
      <c r="R314" s="20" t="s">
        <v>31</v>
      </c>
      <c r="S314" s="20" t="s">
        <v>32</v>
      </c>
      <c r="T314" s="20">
        <v>388734.36</v>
      </c>
      <c r="U314" s="20" t="s">
        <v>36</v>
      </c>
      <c r="V314" s="25">
        <v>44502.687071759297</v>
      </c>
      <c r="W314" s="20" t="s">
        <v>34</v>
      </c>
      <c r="X314" s="20"/>
      <c r="Y314" s="26">
        <v>41.636944442521802</v>
      </c>
      <c r="Z314" s="22" t="s">
        <v>35</v>
      </c>
      <c r="AA314" s="27" t="s">
        <v>34</v>
      </c>
      <c r="AB314" s="27" t="s">
        <v>31</v>
      </c>
      <c r="AC314" s="28" t="s">
        <v>31</v>
      </c>
      <c r="AD314" s="28" t="s">
        <v>31</v>
      </c>
    </row>
    <row r="315" spans="1:30" ht="14.55" customHeight="1" x14ac:dyDescent="0.4">
      <c r="A315" s="20">
        <v>1</v>
      </c>
      <c r="B315" s="20">
        <v>320</v>
      </c>
      <c r="C315" s="21">
        <v>64</v>
      </c>
      <c r="D315" s="22" t="s">
        <v>30</v>
      </c>
      <c r="E315" s="22">
        <v>0</v>
      </c>
      <c r="F315" s="22">
        <v>1</v>
      </c>
      <c r="G315" s="22">
        <v>0</v>
      </c>
      <c r="H315" s="22">
        <v>1</v>
      </c>
      <c r="I315" s="22">
        <v>1</v>
      </c>
      <c r="J315" s="22">
        <v>0</v>
      </c>
      <c r="K315" s="22">
        <v>0</v>
      </c>
      <c r="L315" s="22">
        <v>0</v>
      </c>
      <c r="M315" s="22">
        <v>0</v>
      </c>
      <c r="N315" s="23">
        <v>44903.693749999999</v>
      </c>
      <c r="O315" s="23">
        <v>44912</v>
      </c>
      <c r="P315" s="24">
        <f t="shared" si="4"/>
        <v>9.3062500000014605</v>
      </c>
      <c r="Q315" s="20" t="s">
        <v>31</v>
      </c>
      <c r="R315" s="20" t="s">
        <v>31</v>
      </c>
      <c r="S315" s="20" t="s">
        <v>32</v>
      </c>
      <c r="T315" s="20">
        <v>17195.55</v>
      </c>
      <c r="U315" s="20" t="s">
        <v>36</v>
      </c>
      <c r="V315" s="25">
        <v>44910.487789351901</v>
      </c>
      <c r="W315" s="20" t="s">
        <v>34</v>
      </c>
      <c r="X315" s="20"/>
      <c r="Y315" s="26">
        <v>45.211388887139002</v>
      </c>
      <c r="Z315" s="22" t="s">
        <v>35</v>
      </c>
      <c r="AA315" s="27" t="s">
        <v>34</v>
      </c>
      <c r="AB315" s="27" t="s">
        <v>31</v>
      </c>
      <c r="AC315" s="28" t="s">
        <v>31</v>
      </c>
      <c r="AD315" s="28" t="s">
        <v>31</v>
      </c>
    </row>
    <row r="316" spans="1:30" ht="14.55" customHeight="1" x14ac:dyDescent="0.4">
      <c r="A316" s="20">
        <v>1</v>
      </c>
      <c r="B316" s="20">
        <v>321</v>
      </c>
      <c r="C316" s="21">
        <v>66</v>
      </c>
      <c r="D316" s="22" t="s">
        <v>30</v>
      </c>
      <c r="E316" s="22">
        <v>0</v>
      </c>
      <c r="F316" s="22">
        <v>1</v>
      </c>
      <c r="G316" s="22">
        <v>0</v>
      </c>
      <c r="H316" s="22">
        <v>0</v>
      </c>
      <c r="I316" s="22">
        <v>1</v>
      </c>
      <c r="J316" s="22">
        <v>0</v>
      </c>
      <c r="K316" s="22">
        <v>0</v>
      </c>
      <c r="L316" s="22">
        <v>0</v>
      </c>
      <c r="M316" s="22">
        <v>0</v>
      </c>
      <c r="N316" s="23">
        <v>44721.7006944444</v>
      </c>
      <c r="O316" s="23">
        <v>44738</v>
      </c>
      <c r="P316" s="24">
        <f t="shared" si="4"/>
        <v>17.299305555599901</v>
      </c>
      <c r="Q316" s="20" t="s">
        <v>31</v>
      </c>
      <c r="R316" s="20" t="s">
        <v>31</v>
      </c>
      <c r="S316" s="20" t="s">
        <v>32</v>
      </c>
      <c r="T316" s="20">
        <v>21867.53</v>
      </c>
      <c r="U316" s="20" t="s">
        <v>36</v>
      </c>
      <c r="V316" s="25">
        <v>44732.467696759297</v>
      </c>
      <c r="W316" s="20" t="s">
        <v>68</v>
      </c>
      <c r="X316" s="20"/>
      <c r="Y316" s="26">
        <v>68.765833332028706</v>
      </c>
      <c r="Z316" s="22" t="s">
        <v>35</v>
      </c>
      <c r="AA316" s="27">
        <v>1</v>
      </c>
      <c r="AB316" s="27" t="s">
        <v>31</v>
      </c>
      <c r="AC316" s="28">
        <v>3</v>
      </c>
      <c r="AD316" s="28" t="s">
        <v>31</v>
      </c>
    </row>
    <row r="317" spans="1:30" ht="14.55" customHeight="1" x14ac:dyDescent="0.4">
      <c r="A317" s="20">
        <v>1</v>
      </c>
      <c r="B317" s="20">
        <v>322</v>
      </c>
      <c r="C317" s="21">
        <v>68</v>
      </c>
      <c r="D317" s="22" t="s">
        <v>30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3">
        <v>44247.425694444399</v>
      </c>
      <c r="O317" s="23">
        <v>44267</v>
      </c>
      <c r="P317" s="24">
        <f t="shared" si="4"/>
        <v>20.574305555601299</v>
      </c>
      <c r="Q317" s="20" t="s">
        <v>31</v>
      </c>
      <c r="R317" s="20" t="s">
        <v>31</v>
      </c>
      <c r="S317" s="20" t="s">
        <v>32</v>
      </c>
      <c r="T317" s="20">
        <v>88766.48</v>
      </c>
      <c r="U317" s="20" t="s">
        <v>39</v>
      </c>
      <c r="V317" s="25">
        <v>44251.483668981498</v>
      </c>
      <c r="W317" s="20" t="s">
        <v>44</v>
      </c>
      <c r="X317" s="20"/>
      <c r="Y317" s="26">
        <v>70.075555555173196</v>
      </c>
      <c r="Z317" s="22" t="s">
        <v>35</v>
      </c>
      <c r="AA317" s="27">
        <v>1</v>
      </c>
      <c r="AB317" s="27" t="s">
        <v>31</v>
      </c>
      <c r="AC317" s="28">
        <v>1</v>
      </c>
      <c r="AD317" s="28" t="s">
        <v>31</v>
      </c>
    </row>
    <row r="318" spans="1:30" ht="14.55" customHeight="1" x14ac:dyDescent="0.4">
      <c r="A318" s="20">
        <v>1</v>
      </c>
      <c r="B318" s="20">
        <v>323</v>
      </c>
      <c r="C318" s="21">
        <v>69</v>
      </c>
      <c r="D318" s="22" t="s">
        <v>30</v>
      </c>
      <c r="E318" s="22">
        <v>0</v>
      </c>
      <c r="F318" s="22">
        <v>1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3">
        <v>44966.6159722222</v>
      </c>
      <c r="O318" s="23">
        <v>44974</v>
      </c>
      <c r="P318" s="24">
        <f t="shared" si="4"/>
        <v>8.3840277777999308</v>
      </c>
      <c r="Q318" s="20" t="s">
        <v>31</v>
      </c>
      <c r="R318" s="20" t="s">
        <v>31</v>
      </c>
      <c r="S318" s="20" t="s">
        <v>32</v>
      </c>
      <c r="T318" s="20">
        <v>13702.66</v>
      </c>
      <c r="U318" s="20" t="s">
        <v>36</v>
      </c>
      <c r="V318" s="25">
        <v>44972.487986111097</v>
      </c>
      <c r="W318" s="20" t="s">
        <v>34</v>
      </c>
      <c r="X318" s="20"/>
      <c r="Y318" s="26">
        <v>47.708055556810002</v>
      </c>
      <c r="Z318" s="22" t="s">
        <v>35</v>
      </c>
      <c r="AA318" s="27" t="s">
        <v>34</v>
      </c>
      <c r="AB318" s="27" t="s">
        <v>31</v>
      </c>
      <c r="AC318" s="28" t="s">
        <v>31</v>
      </c>
      <c r="AD318" s="28" t="s">
        <v>31</v>
      </c>
    </row>
    <row r="319" spans="1:30" ht="14.55" customHeight="1" x14ac:dyDescent="0.4">
      <c r="A319" s="20">
        <v>1</v>
      </c>
      <c r="B319" s="20">
        <v>324</v>
      </c>
      <c r="C319" s="21">
        <v>65</v>
      </c>
      <c r="D319" s="22" t="s">
        <v>30</v>
      </c>
      <c r="E319" s="22">
        <v>0</v>
      </c>
      <c r="F319" s="22">
        <v>1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3">
        <v>44557.619444444397</v>
      </c>
      <c r="O319" s="23">
        <v>44561</v>
      </c>
      <c r="P319" s="24">
        <f t="shared" si="4"/>
        <v>4.3805555556027702</v>
      </c>
      <c r="Q319" s="20" t="s">
        <v>31</v>
      </c>
      <c r="R319" s="20" t="s">
        <v>31</v>
      </c>
      <c r="S319" s="22" t="s">
        <v>32</v>
      </c>
      <c r="T319" s="20">
        <v>8682.6200000000008</v>
      </c>
      <c r="U319" s="20" t="s">
        <v>36</v>
      </c>
      <c r="V319" s="25">
        <v>44560.490127314799</v>
      </c>
      <c r="W319" s="20" t="s">
        <v>34</v>
      </c>
      <c r="X319" s="20"/>
      <c r="Y319" s="26">
        <v>47.794166666397402</v>
      </c>
      <c r="Z319" s="22" t="s">
        <v>35</v>
      </c>
      <c r="AA319" s="27" t="s">
        <v>34</v>
      </c>
      <c r="AB319" s="27" t="s">
        <v>31</v>
      </c>
      <c r="AC319" s="28" t="s">
        <v>31</v>
      </c>
      <c r="AD319" s="28" t="s">
        <v>31</v>
      </c>
    </row>
    <row r="320" spans="1:30" ht="14.55" customHeight="1" x14ac:dyDescent="0.4">
      <c r="A320" s="20">
        <v>1</v>
      </c>
      <c r="B320" s="20">
        <v>325</v>
      </c>
      <c r="C320" s="21">
        <v>69</v>
      </c>
      <c r="D320" s="22" t="s">
        <v>30</v>
      </c>
      <c r="E320" s="22">
        <v>0</v>
      </c>
      <c r="F320" s="22">
        <v>0</v>
      </c>
      <c r="G320" s="22">
        <v>1</v>
      </c>
      <c r="H320" s="22">
        <v>0</v>
      </c>
      <c r="I320" s="22">
        <v>0</v>
      </c>
      <c r="J320" s="22">
        <v>1</v>
      </c>
      <c r="K320" s="22">
        <v>0</v>
      </c>
      <c r="L320" s="22">
        <v>0</v>
      </c>
      <c r="M320" s="22">
        <v>0</v>
      </c>
      <c r="N320" s="23">
        <v>44555.627083333296</v>
      </c>
      <c r="O320" s="23">
        <v>44567</v>
      </c>
      <c r="P320" s="24">
        <f t="shared" si="4"/>
        <v>12.3729166667035</v>
      </c>
      <c r="Q320" s="20" t="s">
        <v>31</v>
      </c>
      <c r="R320" s="20" t="s">
        <v>31</v>
      </c>
      <c r="S320" s="22" t="s">
        <v>32</v>
      </c>
      <c r="T320" s="20">
        <v>13070.38</v>
      </c>
      <c r="U320" s="22" t="s">
        <v>36</v>
      </c>
      <c r="V320" s="25">
        <v>44560.490509259304</v>
      </c>
      <c r="W320" s="20" t="s">
        <v>34</v>
      </c>
      <c r="X320" s="20"/>
      <c r="Y320" s="26">
        <v>261.63444444240298</v>
      </c>
      <c r="Z320" s="22" t="s">
        <v>35</v>
      </c>
      <c r="AA320" s="27" t="s">
        <v>34</v>
      </c>
      <c r="AB320" s="27" t="s">
        <v>31</v>
      </c>
      <c r="AC320" s="28" t="s">
        <v>31</v>
      </c>
      <c r="AD320" s="28" t="s">
        <v>31</v>
      </c>
    </row>
    <row r="321" spans="1:30" ht="14.55" customHeight="1" x14ac:dyDescent="0.4">
      <c r="A321" s="20">
        <v>1</v>
      </c>
      <c r="B321" s="20">
        <v>326</v>
      </c>
      <c r="C321" s="21">
        <v>65</v>
      </c>
      <c r="D321" s="22" t="s">
        <v>30</v>
      </c>
      <c r="E321" s="22">
        <v>1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3">
        <v>44446.775000000001</v>
      </c>
      <c r="O321" s="23">
        <v>44455</v>
      </c>
      <c r="P321" s="24">
        <f t="shared" si="4"/>
        <v>9.2249999999985395</v>
      </c>
      <c r="Q321" s="20" t="s">
        <v>31</v>
      </c>
      <c r="R321" s="20" t="s">
        <v>31</v>
      </c>
      <c r="S321" s="20" t="s">
        <v>32</v>
      </c>
      <c r="T321" s="20">
        <v>221929.15</v>
      </c>
      <c r="U321" s="20" t="s">
        <v>36</v>
      </c>
      <c r="V321" s="25">
        <v>44447.688194444403</v>
      </c>
      <c r="W321" s="20" t="s">
        <v>34</v>
      </c>
      <c r="X321" s="20"/>
      <c r="Y321" s="26">
        <v>41.652777777460898</v>
      </c>
      <c r="Z321" s="22" t="s">
        <v>35</v>
      </c>
      <c r="AA321" s="27" t="s">
        <v>34</v>
      </c>
      <c r="AB321" s="27" t="s">
        <v>31</v>
      </c>
      <c r="AC321" s="28" t="s">
        <v>31</v>
      </c>
      <c r="AD321" s="28" t="s">
        <v>31</v>
      </c>
    </row>
    <row r="322" spans="1:30" ht="14.55" customHeight="1" x14ac:dyDescent="0.4">
      <c r="A322" s="20">
        <v>1</v>
      </c>
      <c r="B322" s="20">
        <v>327</v>
      </c>
      <c r="C322" s="21">
        <v>65</v>
      </c>
      <c r="D322" s="22" t="s">
        <v>30</v>
      </c>
      <c r="E322" s="22">
        <v>0</v>
      </c>
      <c r="F322" s="22">
        <v>1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3">
        <v>44344.656944444403</v>
      </c>
      <c r="O322" s="23">
        <v>44374</v>
      </c>
      <c r="P322" s="24">
        <f t="shared" si="4"/>
        <v>30.343055555596901</v>
      </c>
      <c r="Q322" s="20" t="s">
        <v>31</v>
      </c>
      <c r="R322" s="20" t="s">
        <v>31</v>
      </c>
      <c r="S322" s="22" t="s">
        <v>32</v>
      </c>
      <c r="T322" s="20">
        <v>12740.74</v>
      </c>
      <c r="U322" s="20" t="s">
        <v>36</v>
      </c>
      <c r="V322" s="25">
        <v>44348.6656365741</v>
      </c>
      <c r="W322" s="20" t="s">
        <v>34</v>
      </c>
      <c r="X322" s="20"/>
      <c r="Y322" s="26">
        <v>234.974722221668</v>
      </c>
      <c r="Z322" s="22" t="s">
        <v>35</v>
      </c>
      <c r="AA322" s="27" t="s">
        <v>34</v>
      </c>
      <c r="AB322" s="27" t="s">
        <v>31</v>
      </c>
      <c r="AC322" s="28" t="s">
        <v>31</v>
      </c>
      <c r="AD322" s="28" t="s">
        <v>31</v>
      </c>
    </row>
    <row r="323" spans="1:30" ht="14.55" customHeight="1" x14ac:dyDescent="0.4">
      <c r="A323" s="20">
        <v>1</v>
      </c>
      <c r="B323" s="20">
        <v>328</v>
      </c>
      <c r="C323" s="21">
        <v>68</v>
      </c>
      <c r="D323" s="22" t="s">
        <v>30</v>
      </c>
      <c r="E323" s="22">
        <v>0</v>
      </c>
      <c r="F323" s="22">
        <v>0</v>
      </c>
      <c r="G323" s="22">
        <v>0</v>
      </c>
      <c r="H323" s="22">
        <v>1</v>
      </c>
      <c r="I323" s="22">
        <v>1</v>
      </c>
      <c r="J323" s="22">
        <v>0</v>
      </c>
      <c r="K323" s="22">
        <v>0</v>
      </c>
      <c r="L323" s="22">
        <v>0</v>
      </c>
      <c r="M323" s="22">
        <v>0</v>
      </c>
      <c r="N323" s="23">
        <v>44753.622222222199</v>
      </c>
      <c r="O323" s="23">
        <v>44763</v>
      </c>
      <c r="P323" s="24">
        <f t="shared" ref="P323:P386" si="5">O323-N323+1</f>
        <v>10.3777777778014</v>
      </c>
      <c r="Q323" s="20" t="s">
        <v>31</v>
      </c>
      <c r="R323" s="20" t="s">
        <v>31</v>
      </c>
      <c r="S323" s="22" t="s">
        <v>32</v>
      </c>
      <c r="T323" s="20">
        <v>9282.57</v>
      </c>
      <c r="U323" s="20" t="s">
        <v>36</v>
      </c>
      <c r="V323" s="25">
        <v>44756.6355092593</v>
      </c>
      <c r="W323" s="20" t="s">
        <v>34</v>
      </c>
      <c r="X323" s="20"/>
      <c r="Y323" s="26">
        <v>45.759444444032901</v>
      </c>
      <c r="Z323" s="22" t="s">
        <v>35</v>
      </c>
      <c r="AA323" s="27" t="s">
        <v>34</v>
      </c>
      <c r="AB323" s="27" t="s">
        <v>31</v>
      </c>
      <c r="AC323" s="28" t="s">
        <v>31</v>
      </c>
      <c r="AD323" s="28" t="s">
        <v>31</v>
      </c>
    </row>
    <row r="324" spans="1:30" ht="14.55" customHeight="1" x14ac:dyDescent="0.4">
      <c r="A324" s="20">
        <v>1</v>
      </c>
      <c r="B324" s="20">
        <v>329</v>
      </c>
      <c r="C324" s="21">
        <v>69</v>
      </c>
      <c r="D324" s="22" t="s">
        <v>30</v>
      </c>
      <c r="E324" s="22">
        <v>0</v>
      </c>
      <c r="F324" s="22">
        <v>1</v>
      </c>
      <c r="G324" s="22">
        <v>0</v>
      </c>
      <c r="H324" s="22">
        <v>1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3">
        <v>44983.534722222197</v>
      </c>
      <c r="O324" s="23">
        <v>44990</v>
      </c>
      <c r="P324" s="24">
        <f t="shared" si="5"/>
        <v>7.4652777778028403</v>
      </c>
      <c r="Q324" s="20" t="s">
        <v>31</v>
      </c>
      <c r="R324" s="20" t="s">
        <v>31</v>
      </c>
      <c r="S324" s="20" t="s">
        <v>32</v>
      </c>
      <c r="T324" s="20">
        <v>11976.44</v>
      </c>
      <c r="U324" s="20" t="s">
        <v>39</v>
      </c>
      <c r="V324" s="25">
        <v>44987.464965277803</v>
      </c>
      <c r="W324" s="20" t="s">
        <v>34</v>
      </c>
      <c r="X324" s="20"/>
      <c r="Y324" s="26">
        <v>47.216666666383396</v>
      </c>
      <c r="Z324" s="22" t="s">
        <v>35</v>
      </c>
      <c r="AA324" s="27" t="s">
        <v>34</v>
      </c>
      <c r="AB324" s="27" t="s">
        <v>31</v>
      </c>
      <c r="AC324" s="28" t="s">
        <v>31</v>
      </c>
      <c r="AD324" s="28" t="s">
        <v>31</v>
      </c>
    </row>
    <row r="325" spans="1:30" ht="14.55" customHeight="1" x14ac:dyDescent="0.4">
      <c r="A325" s="20">
        <v>1</v>
      </c>
      <c r="B325" s="20">
        <v>330</v>
      </c>
      <c r="C325" s="21">
        <v>66</v>
      </c>
      <c r="D325" s="22" t="s">
        <v>30</v>
      </c>
      <c r="E325" s="22">
        <v>0</v>
      </c>
      <c r="F325" s="22">
        <v>1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3">
        <v>44978.592361111099</v>
      </c>
      <c r="O325" s="23">
        <v>44986</v>
      </c>
      <c r="P325" s="24">
        <f t="shared" si="5"/>
        <v>8.4076388889006903</v>
      </c>
      <c r="Q325" s="20" t="s">
        <v>31</v>
      </c>
      <c r="R325" s="20" t="s">
        <v>31</v>
      </c>
      <c r="S325" s="22" t="s">
        <v>32</v>
      </c>
      <c r="T325" s="20">
        <v>18198.32</v>
      </c>
      <c r="U325" s="20" t="s">
        <v>36</v>
      </c>
      <c r="V325" s="25">
        <v>44981.482696759304</v>
      </c>
      <c r="W325" s="20" t="s">
        <v>44</v>
      </c>
      <c r="X325" s="20"/>
      <c r="Y325" s="26">
        <v>69.191388887877096</v>
      </c>
      <c r="Z325" s="22" t="s">
        <v>35</v>
      </c>
      <c r="AA325" s="27">
        <v>1</v>
      </c>
      <c r="AB325" s="27" t="s">
        <v>31</v>
      </c>
      <c r="AC325" s="28">
        <v>1</v>
      </c>
      <c r="AD325" s="28" t="s">
        <v>31</v>
      </c>
    </row>
    <row r="326" spans="1:30" ht="14.55" customHeight="1" x14ac:dyDescent="0.4">
      <c r="A326" s="20">
        <v>1</v>
      </c>
      <c r="B326" s="20">
        <v>331</v>
      </c>
      <c r="C326" s="21">
        <v>68</v>
      </c>
      <c r="D326" s="22" t="s">
        <v>30</v>
      </c>
      <c r="E326" s="22">
        <v>0</v>
      </c>
      <c r="F326" s="22">
        <v>0</v>
      </c>
      <c r="G326" s="22">
        <v>0</v>
      </c>
      <c r="H326" s="22">
        <v>1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3">
        <v>44042.604166666701</v>
      </c>
      <c r="O326" s="23">
        <v>44049</v>
      </c>
      <c r="P326" s="24">
        <f t="shared" si="5"/>
        <v>7.3958333332993798</v>
      </c>
      <c r="Q326" s="20" t="s">
        <v>31</v>
      </c>
      <c r="R326" s="20" t="s">
        <v>31</v>
      </c>
      <c r="S326" s="22" t="s">
        <v>32</v>
      </c>
      <c r="T326" s="20">
        <v>8641.69</v>
      </c>
      <c r="U326" s="20" t="s">
        <v>39</v>
      </c>
      <c r="V326" s="25">
        <v>44048.492291666698</v>
      </c>
      <c r="W326" s="20" t="s">
        <v>34</v>
      </c>
      <c r="X326" s="20"/>
      <c r="Y326" s="26">
        <v>221.66277777595701</v>
      </c>
      <c r="Z326" s="22" t="s">
        <v>35</v>
      </c>
      <c r="AA326" s="27" t="s">
        <v>34</v>
      </c>
      <c r="AB326" s="27" t="s">
        <v>31</v>
      </c>
      <c r="AC326" s="28" t="s">
        <v>31</v>
      </c>
      <c r="AD326" s="28" t="s">
        <v>31</v>
      </c>
    </row>
    <row r="327" spans="1:30" ht="14.55" customHeight="1" x14ac:dyDescent="0.4">
      <c r="A327" s="20">
        <v>1</v>
      </c>
      <c r="B327" s="20">
        <v>332</v>
      </c>
      <c r="C327" s="21">
        <v>65</v>
      </c>
      <c r="D327" s="22" t="s">
        <v>30</v>
      </c>
      <c r="E327" s="22">
        <v>0</v>
      </c>
      <c r="F327" s="22">
        <v>1</v>
      </c>
      <c r="G327" s="22">
        <v>1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3">
        <v>43900.581250000003</v>
      </c>
      <c r="O327" s="23">
        <v>43906</v>
      </c>
      <c r="P327" s="24">
        <f t="shared" si="5"/>
        <v>6.4187499999970896</v>
      </c>
      <c r="Q327" s="20" t="s">
        <v>31</v>
      </c>
      <c r="R327" s="20" t="s">
        <v>31</v>
      </c>
      <c r="S327" s="20" t="s">
        <v>32</v>
      </c>
      <c r="T327" s="20">
        <v>9225.33</v>
      </c>
      <c r="U327" s="20" t="s">
        <v>36</v>
      </c>
      <c r="V327" s="25">
        <v>43902.452939814801</v>
      </c>
      <c r="W327" s="20" t="s">
        <v>43</v>
      </c>
      <c r="X327" s="20"/>
      <c r="Y327" s="26">
        <v>191.35999999917101</v>
      </c>
      <c r="Z327" s="22" t="s">
        <v>35</v>
      </c>
      <c r="AA327" s="27">
        <v>1</v>
      </c>
      <c r="AB327" s="27" t="s">
        <v>31</v>
      </c>
      <c r="AC327" s="28">
        <v>1</v>
      </c>
      <c r="AD327" s="28" t="s">
        <v>31</v>
      </c>
    </row>
    <row r="328" spans="1:30" ht="14.55" customHeight="1" x14ac:dyDescent="0.4">
      <c r="A328" s="20">
        <v>1</v>
      </c>
      <c r="B328" s="20">
        <v>333</v>
      </c>
      <c r="C328" s="21">
        <v>66</v>
      </c>
      <c r="D328" s="22" t="s">
        <v>30</v>
      </c>
      <c r="E328" s="22">
        <v>1</v>
      </c>
      <c r="F328" s="22">
        <v>1</v>
      </c>
      <c r="G328" s="22">
        <v>1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3">
        <v>44711.457638888904</v>
      </c>
      <c r="O328" s="23">
        <v>44736</v>
      </c>
      <c r="P328" s="24">
        <f t="shared" si="5"/>
        <v>25.542361111096401</v>
      </c>
      <c r="Q328" s="20" t="s">
        <v>31</v>
      </c>
      <c r="R328" s="20" t="s">
        <v>31</v>
      </c>
      <c r="S328" s="22" t="s">
        <v>32</v>
      </c>
      <c r="T328" s="20">
        <v>254047.93</v>
      </c>
      <c r="U328" s="20" t="s">
        <v>36</v>
      </c>
      <c r="V328" s="25">
        <v>44717.441516203697</v>
      </c>
      <c r="W328" s="20" t="s">
        <v>34</v>
      </c>
      <c r="X328" s="20"/>
      <c r="Y328" s="26">
        <v>47.267222222406403</v>
      </c>
      <c r="Z328" s="22" t="s">
        <v>35</v>
      </c>
      <c r="AA328" s="27" t="s">
        <v>34</v>
      </c>
      <c r="AB328" s="27" t="s">
        <v>31</v>
      </c>
      <c r="AC328" s="28" t="s">
        <v>31</v>
      </c>
      <c r="AD328" s="28" t="s">
        <v>31</v>
      </c>
    </row>
    <row r="329" spans="1:30" ht="14.55" customHeight="1" x14ac:dyDescent="0.4">
      <c r="A329" s="20">
        <v>1</v>
      </c>
      <c r="B329" s="20">
        <v>334</v>
      </c>
      <c r="C329" s="21">
        <v>66</v>
      </c>
      <c r="D329" s="22" t="s">
        <v>30</v>
      </c>
      <c r="E329" s="22">
        <v>0</v>
      </c>
      <c r="F329" s="22">
        <v>1</v>
      </c>
      <c r="G329" s="22">
        <v>1</v>
      </c>
      <c r="H329" s="22">
        <v>1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3">
        <v>45002.645138888904</v>
      </c>
      <c r="O329" s="23">
        <v>45007</v>
      </c>
      <c r="P329" s="24">
        <f t="shared" si="5"/>
        <v>5.3548611110964002</v>
      </c>
      <c r="Q329" s="20" t="s">
        <v>31</v>
      </c>
      <c r="R329" s="20" t="s">
        <v>31</v>
      </c>
      <c r="S329" s="20" t="s">
        <v>32</v>
      </c>
      <c r="T329" s="20">
        <v>9487.92</v>
      </c>
      <c r="U329" s="20" t="s">
        <v>36</v>
      </c>
      <c r="V329" s="25">
        <v>45006.595671296302</v>
      </c>
      <c r="W329" s="20" t="s">
        <v>34</v>
      </c>
      <c r="X329" s="20"/>
      <c r="Y329" s="26">
        <v>237.20361111120999</v>
      </c>
      <c r="Z329" s="22" t="s">
        <v>35</v>
      </c>
      <c r="AA329" s="27" t="s">
        <v>34</v>
      </c>
      <c r="AB329" s="27" t="s">
        <v>31</v>
      </c>
      <c r="AC329" s="28" t="s">
        <v>31</v>
      </c>
      <c r="AD329" s="28" t="s">
        <v>31</v>
      </c>
    </row>
    <row r="330" spans="1:30" ht="14.55" customHeight="1" x14ac:dyDescent="0.4">
      <c r="A330" s="20">
        <v>1</v>
      </c>
      <c r="B330" s="20">
        <v>335</v>
      </c>
      <c r="C330" s="21">
        <v>69</v>
      </c>
      <c r="D330" s="22" t="s">
        <v>30</v>
      </c>
      <c r="E330" s="22">
        <v>0</v>
      </c>
      <c r="F330" s="22">
        <v>0</v>
      </c>
      <c r="G330" s="22">
        <v>1</v>
      </c>
      <c r="H330" s="22">
        <v>1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3">
        <v>44135.6</v>
      </c>
      <c r="O330" s="23">
        <v>44155</v>
      </c>
      <c r="P330" s="24">
        <f t="shared" si="5"/>
        <v>20.400000000001501</v>
      </c>
      <c r="Q330" s="20" t="s">
        <v>31</v>
      </c>
      <c r="R330" s="20" t="s">
        <v>31</v>
      </c>
      <c r="S330" s="20" t="s">
        <v>32</v>
      </c>
      <c r="T330" s="20">
        <v>95707.02</v>
      </c>
      <c r="U330" s="22" t="s">
        <v>36</v>
      </c>
      <c r="V330" s="25">
        <v>44137.4906134259</v>
      </c>
      <c r="W330" s="20" t="s">
        <v>34</v>
      </c>
      <c r="X330" s="20"/>
      <c r="Y330" s="26">
        <v>215.744166667282</v>
      </c>
      <c r="Z330" s="22" t="s">
        <v>35</v>
      </c>
      <c r="AA330" s="27" t="s">
        <v>34</v>
      </c>
      <c r="AB330" s="27" t="s">
        <v>31</v>
      </c>
      <c r="AC330" s="28" t="s">
        <v>31</v>
      </c>
      <c r="AD330" s="28" t="s">
        <v>31</v>
      </c>
    </row>
    <row r="331" spans="1:30" ht="14.55" customHeight="1" x14ac:dyDescent="0.4">
      <c r="A331" s="20">
        <v>1</v>
      </c>
      <c r="B331" s="20">
        <v>336</v>
      </c>
      <c r="C331" s="21">
        <v>67</v>
      </c>
      <c r="D331" s="22" t="s">
        <v>30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3">
        <v>44452.614583333299</v>
      </c>
      <c r="O331" s="23">
        <v>44459</v>
      </c>
      <c r="P331" s="24">
        <f t="shared" si="5"/>
        <v>7.3854166667006202</v>
      </c>
      <c r="Q331" s="20" t="s">
        <v>31</v>
      </c>
      <c r="R331" s="20" t="s">
        <v>31</v>
      </c>
      <c r="S331" s="22" t="s">
        <v>32</v>
      </c>
      <c r="T331" s="20">
        <v>9354.93</v>
      </c>
      <c r="U331" s="20" t="s">
        <v>36</v>
      </c>
      <c r="V331" s="25">
        <v>44456.683912036999</v>
      </c>
      <c r="W331" s="20" t="s">
        <v>34</v>
      </c>
      <c r="X331" s="20"/>
      <c r="Y331" s="26">
        <v>43.582222223980402</v>
      </c>
      <c r="Z331" s="22" t="s">
        <v>35</v>
      </c>
      <c r="AA331" s="27" t="s">
        <v>34</v>
      </c>
      <c r="AB331" s="27" t="s">
        <v>31</v>
      </c>
      <c r="AC331" s="28" t="s">
        <v>31</v>
      </c>
      <c r="AD331" s="28" t="s">
        <v>31</v>
      </c>
    </row>
    <row r="332" spans="1:30" ht="14.55" customHeight="1" x14ac:dyDescent="0.4">
      <c r="A332" s="20">
        <v>1</v>
      </c>
      <c r="B332" s="20">
        <v>337</v>
      </c>
      <c r="C332" s="21">
        <v>65</v>
      </c>
      <c r="D332" s="22" t="s">
        <v>30</v>
      </c>
      <c r="E332" s="22">
        <v>0</v>
      </c>
      <c r="F332" s="22">
        <v>1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3">
        <v>44248.606249999997</v>
      </c>
      <c r="O332" s="23">
        <v>44272</v>
      </c>
      <c r="P332" s="24">
        <f t="shared" si="5"/>
        <v>24.3937500000029</v>
      </c>
      <c r="Q332" s="20" t="s">
        <v>31</v>
      </c>
      <c r="R332" s="20" t="s">
        <v>31</v>
      </c>
      <c r="S332" s="20" t="s">
        <v>32</v>
      </c>
      <c r="T332" s="20">
        <v>41916.19</v>
      </c>
      <c r="U332" s="20" t="s">
        <v>39</v>
      </c>
      <c r="V332" s="25">
        <v>44257.481342592597</v>
      </c>
      <c r="W332" s="20" t="s">
        <v>34</v>
      </c>
      <c r="X332" s="20"/>
      <c r="Y332" s="26">
        <v>45.858888888149501</v>
      </c>
      <c r="Z332" s="22" t="s">
        <v>35</v>
      </c>
      <c r="AA332" s="27" t="s">
        <v>34</v>
      </c>
      <c r="AB332" s="27" t="s">
        <v>31</v>
      </c>
      <c r="AC332" s="28" t="s">
        <v>31</v>
      </c>
      <c r="AD332" s="28" t="s">
        <v>31</v>
      </c>
    </row>
    <row r="333" spans="1:30" ht="14.55" customHeight="1" x14ac:dyDescent="0.4">
      <c r="A333" s="20">
        <v>1</v>
      </c>
      <c r="B333" s="20">
        <v>338</v>
      </c>
      <c r="C333" s="21">
        <v>65</v>
      </c>
      <c r="D333" s="22" t="s">
        <v>30</v>
      </c>
      <c r="E333" s="22">
        <v>0</v>
      </c>
      <c r="F333" s="22">
        <v>1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3">
        <v>44988.588888888902</v>
      </c>
      <c r="O333" s="23">
        <v>44998</v>
      </c>
      <c r="P333" s="24">
        <f t="shared" si="5"/>
        <v>10.411111111097901</v>
      </c>
      <c r="Q333" s="20" t="s">
        <v>31</v>
      </c>
      <c r="R333" s="20" t="s">
        <v>31</v>
      </c>
      <c r="S333" s="22" t="s">
        <v>32</v>
      </c>
      <c r="T333" s="20">
        <v>14655.16</v>
      </c>
      <c r="U333" s="20" t="s">
        <v>36</v>
      </c>
      <c r="V333" s="25">
        <v>44993.631747685198</v>
      </c>
      <c r="W333" s="20" t="s">
        <v>34</v>
      </c>
      <c r="X333" s="20"/>
      <c r="Y333" s="26">
        <v>239.731944444124</v>
      </c>
      <c r="Z333" s="22" t="s">
        <v>35</v>
      </c>
      <c r="AA333" s="27" t="s">
        <v>34</v>
      </c>
      <c r="AB333" s="27" t="s">
        <v>31</v>
      </c>
      <c r="AC333" s="28" t="s">
        <v>31</v>
      </c>
      <c r="AD333" s="28" t="s">
        <v>31</v>
      </c>
    </row>
    <row r="334" spans="1:30" ht="14.55" customHeight="1" x14ac:dyDescent="0.4">
      <c r="A334" s="20">
        <v>1</v>
      </c>
      <c r="B334" s="20">
        <v>339</v>
      </c>
      <c r="C334" s="21">
        <v>69</v>
      </c>
      <c r="D334" s="22" t="s">
        <v>30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3">
        <v>44212.619444444397</v>
      </c>
      <c r="O334" s="23">
        <v>44228</v>
      </c>
      <c r="P334" s="24">
        <f t="shared" si="5"/>
        <v>16.3805555556028</v>
      </c>
      <c r="Q334" s="20" t="s">
        <v>31</v>
      </c>
      <c r="R334" s="20" t="s">
        <v>31</v>
      </c>
      <c r="S334" s="20" t="s">
        <v>32</v>
      </c>
      <c r="T334" s="20">
        <v>106951.89</v>
      </c>
      <c r="U334" s="20" t="s">
        <v>36</v>
      </c>
      <c r="V334" s="25">
        <v>44217.468530092599</v>
      </c>
      <c r="W334" s="20" t="s">
        <v>44</v>
      </c>
      <c r="X334" s="20"/>
      <c r="Y334" s="26">
        <v>69.255833332892493</v>
      </c>
      <c r="Z334" s="22" t="s">
        <v>35</v>
      </c>
      <c r="AA334" s="27">
        <v>1</v>
      </c>
      <c r="AB334" s="27" t="s">
        <v>31</v>
      </c>
      <c r="AC334" s="28">
        <v>1</v>
      </c>
      <c r="AD334" s="28" t="s">
        <v>31</v>
      </c>
    </row>
    <row r="335" spans="1:30" ht="14.55" customHeight="1" x14ac:dyDescent="0.4">
      <c r="A335" s="20">
        <v>1</v>
      </c>
      <c r="B335" s="20">
        <v>340</v>
      </c>
      <c r="C335" s="21">
        <v>68</v>
      </c>
      <c r="D335" s="22" t="s">
        <v>30</v>
      </c>
      <c r="E335" s="22">
        <v>0</v>
      </c>
      <c r="F335" s="22">
        <v>0</v>
      </c>
      <c r="G335" s="22">
        <v>0</v>
      </c>
      <c r="H335" s="22">
        <v>1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3">
        <v>44314.628472222197</v>
      </c>
      <c r="O335" s="23">
        <v>44336</v>
      </c>
      <c r="P335" s="24">
        <f t="shared" si="5"/>
        <v>22.3715277778028</v>
      </c>
      <c r="Q335" s="20" t="s">
        <v>31</v>
      </c>
      <c r="R335" s="20" t="s">
        <v>31</v>
      </c>
      <c r="S335" s="22" t="s">
        <v>32</v>
      </c>
      <c r="T335" s="20">
        <v>56297.36</v>
      </c>
      <c r="U335" s="20" t="s">
        <v>36</v>
      </c>
      <c r="V335" s="25">
        <v>44334.661898148101</v>
      </c>
      <c r="W335" s="20" t="s">
        <v>34</v>
      </c>
      <c r="X335" s="20"/>
      <c r="Y335" s="26">
        <v>43.172222222434399</v>
      </c>
      <c r="Z335" s="22" t="s">
        <v>35</v>
      </c>
      <c r="AA335" s="27" t="s">
        <v>34</v>
      </c>
      <c r="AB335" s="27" t="s">
        <v>31</v>
      </c>
      <c r="AC335" s="28" t="s">
        <v>31</v>
      </c>
      <c r="AD335" s="28" t="s">
        <v>31</v>
      </c>
    </row>
    <row r="336" spans="1:30" ht="14.55" customHeight="1" x14ac:dyDescent="0.4">
      <c r="A336" s="20">
        <v>1</v>
      </c>
      <c r="B336" s="20">
        <v>341</v>
      </c>
      <c r="C336" s="21">
        <v>68</v>
      </c>
      <c r="D336" s="22" t="s">
        <v>30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1</v>
      </c>
      <c r="K336" s="22">
        <v>1</v>
      </c>
      <c r="L336" s="22">
        <v>0</v>
      </c>
      <c r="M336" s="22">
        <v>0</v>
      </c>
      <c r="N336" s="23">
        <v>43934.581250000003</v>
      </c>
      <c r="O336" s="23">
        <v>43980</v>
      </c>
      <c r="P336" s="24">
        <f t="shared" si="5"/>
        <v>46.418749999997097</v>
      </c>
      <c r="Q336" s="20" t="s">
        <v>31</v>
      </c>
      <c r="R336" s="20" t="s">
        <v>31</v>
      </c>
      <c r="S336" s="22" t="s">
        <v>32</v>
      </c>
      <c r="T336" s="20">
        <v>220237.14</v>
      </c>
      <c r="U336" s="20" t="s">
        <v>36</v>
      </c>
      <c r="V336" s="25">
        <v>43946.610717592601</v>
      </c>
      <c r="W336" s="20" t="s">
        <v>34</v>
      </c>
      <c r="X336" s="20"/>
      <c r="Y336" s="26">
        <v>42.5811111119692</v>
      </c>
      <c r="Z336" s="22" t="s">
        <v>35</v>
      </c>
      <c r="AA336" s="27" t="s">
        <v>34</v>
      </c>
      <c r="AB336" s="27" t="s">
        <v>31</v>
      </c>
      <c r="AC336" s="28" t="s">
        <v>31</v>
      </c>
      <c r="AD336" s="28" t="s">
        <v>31</v>
      </c>
    </row>
    <row r="337" spans="1:30" ht="14.55" customHeight="1" x14ac:dyDescent="0.4">
      <c r="A337" s="20">
        <v>1</v>
      </c>
      <c r="B337" s="20">
        <v>342</v>
      </c>
      <c r="C337" s="21">
        <v>68</v>
      </c>
      <c r="D337" s="22" t="s">
        <v>30</v>
      </c>
      <c r="E337" s="22">
        <v>1</v>
      </c>
      <c r="F337" s="22">
        <v>1</v>
      </c>
      <c r="G337" s="22">
        <v>0</v>
      </c>
      <c r="H337" s="22">
        <v>1</v>
      </c>
      <c r="I337" s="22">
        <v>0</v>
      </c>
      <c r="J337" s="22">
        <v>0</v>
      </c>
      <c r="K337" s="22">
        <v>0</v>
      </c>
      <c r="L337" s="22">
        <v>0</v>
      </c>
      <c r="M337" s="22">
        <v>0</v>
      </c>
      <c r="N337" s="23">
        <v>44739.622222222199</v>
      </c>
      <c r="O337" s="23">
        <v>44750</v>
      </c>
      <c r="P337" s="24">
        <f t="shared" si="5"/>
        <v>11.3777777778014</v>
      </c>
      <c r="Q337" s="20" t="s">
        <v>31</v>
      </c>
      <c r="R337" s="20" t="s">
        <v>31</v>
      </c>
      <c r="S337" s="22" t="s">
        <v>32</v>
      </c>
      <c r="T337" s="20">
        <v>9995.26</v>
      </c>
      <c r="U337" s="20" t="s">
        <v>40</v>
      </c>
      <c r="V337" s="25">
        <v>44747.485173611101</v>
      </c>
      <c r="W337" s="20" t="s">
        <v>34</v>
      </c>
      <c r="X337" s="20"/>
      <c r="Y337" s="26">
        <v>69.171388888789807</v>
      </c>
      <c r="Z337" s="22" t="s">
        <v>35</v>
      </c>
      <c r="AA337" s="27" t="s">
        <v>34</v>
      </c>
      <c r="AB337" s="27" t="s">
        <v>31</v>
      </c>
      <c r="AC337" s="28" t="s">
        <v>31</v>
      </c>
      <c r="AD337" s="28" t="s">
        <v>31</v>
      </c>
    </row>
    <row r="338" spans="1:30" ht="14.55" customHeight="1" x14ac:dyDescent="0.4">
      <c r="A338" s="20">
        <v>1</v>
      </c>
      <c r="B338" s="20">
        <v>343</v>
      </c>
      <c r="C338" s="21">
        <v>67</v>
      </c>
      <c r="D338" s="22" t="s">
        <v>30</v>
      </c>
      <c r="E338" s="22">
        <v>0</v>
      </c>
      <c r="F338" s="22">
        <v>1</v>
      </c>
      <c r="G338" s="22">
        <v>0</v>
      </c>
      <c r="H338" s="22">
        <v>0</v>
      </c>
      <c r="I338" s="22">
        <v>0</v>
      </c>
      <c r="J338" s="22">
        <v>0</v>
      </c>
      <c r="K338" s="22">
        <v>0</v>
      </c>
      <c r="L338" s="22">
        <v>0</v>
      </c>
      <c r="M338" s="22">
        <v>0</v>
      </c>
      <c r="N338" s="23">
        <v>44489.612500000003</v>
      </c>
      <c r="O338" s="23">
        <v>44498</v>
      </c>
      <c r="P338" s="24">
        <f t="shared" si="5"/>
        <v>9.3874999999970896</v>
      </c>
      <c r="Q338" s="20" t="s">
        <v>31</v>
      </c>
      <c r="R338" s="20" t="s">
        <v>31</v>
      </c>
      <c r="S338" s="22" t="s">
        <v>32</v>
      </c>
      <c r="T338" s="20">
        <v>10906.15</v>
      </c>
      <c r="U338" s="20" t="s">
        <v>40</v>
      </c>
      <c r="V338" s="25">
        <v>44491.698680555601</v>
      </c>
      <c r="W338" s="20" t="s">
        <v>34</v>
      </c>
      <c r="X338" s="20"/>
      <c r="Y338" s="26">
        <v>45.873888887988898</v>
      </c>
      <c r="Z338" s="22" t="s">
        <v>35</v>
      </c>
      <c r="AA338" s="27" t="s">
        <v>34</v>
      </c>
      <c r="AB338" s="27" t="s">
        <v>31</v>
      </c>
      <c r="AC338" s="28" t="s">
        <v>31</v>
      </c>
      <c r="AD338" s="28" t="s">
        <v>31</v>
      </c>
    </row>
    <row r="339" spans="1:30" ht="14.55" customHeight="1" x14ac:dyDescent="0.4">
      <c r="A339" s="20">
        <v>1</v>
      </c>
      <c r="B339" s="20">
        <v>344</v>
      </c>
      <c r="C339" s="21">
        <v>67</v>
      </c>
      <c r="D339" s="22" t="s">
        <v>30</v>
      </c>
      <c r="E339" s="22">
        <v>1</v>
      </c>
      <c r="F339" s="22">
        <v>1</v>
      </c>
      <c r="G339" s="22">
        <v>0</v>
      </c>
      <c r="H339" s="22">
        <v>0</v>
      </c>
      <c r="I339" s="22">
        <v>0</v>
      </c>
      <c r="J339" s="22">
        <v>0</v>
      </c>
      <c r="K339" s="22">
        <v>0</v>
      </c>
      <c r="L339" s="22">
        <v>0</v>
      </c>
      <c r="M339" s="22">
        <v>0</v>
      </c>
      <c r="N339" s="23">
        <v>44969.472916666702</v>
      </c>
      <c r="O339" s="23">
        <v>44975</v>
      </c>
      <c r="P339" s="24">
        <f t="shared" si="5"/>
        <v>6.5270833332979201</v>
      </c>
      <c r="Q339" s="20" t="s">
        <v>31</v>
      </c>
      <c r="R339" s="20" t="s">
        <v>31</v>
      </c>
      <c r="S339" s="22" t="s">
        <v>32</v>
      </c>
      <c r="T339" s="20">
        <v>16384.32</v>
      </c>
      <c r="U339" s="20" t="s">
        <v>36</v>
      </c>
      <c r="V339" s="25">
        <v>44975.4461689815</v>
      </c>
      <c r="W339" s="20" t="s">
        <v>34</v>
      </c>
      <c r="X339" s="20"/>
      <c r="Y339" s="26">
        <v>47.1022222224274</v>
      </c>
      <c r="Z339" s="22" t="s">
        <v>35</v>
      </c>
      <c r="AA339" s="27" t="s">
        <v>34</v>
      </c>
      <c r="AB339" s="27" t="s">
        <v>31</v>
      </c>
      <c r="AC339" s="28" t="s">
        <v>31</v>
      </c>
      <c r="AD339" s="28" t="s">
        <v>31</v>
      </c>
    </row>
    <row r="340" spans="1:30" ht="14.55" customHeight="1" x14ac:dyDescent="0.4">
      <c r="A340" s="20">
        <v>1</v>
      </c>
      <c r="B340" s="20">
        <v>345</v>
      </c>
      <c r="C340" s="21">
        <v>67</v>
      </c>
      <c r="D340" s="22" t="s">
        <v>30</v>
      </c>
      <c r="E340" s="22">
        <v>0</v>
      </c>
      <c r="F340" s="22">
        <v>1</v>
      </c>
      <c r="G340" s="22">
        <v>0</v>
      </c>
      <c r="H340" s="22">
        <v>1</v>
      </c>
      <c r="I340" s="22">
        <v>0</v>
      </c>
      <c r="J340" s="22">
        <v>0</v>
      </c>
      <c r="K340" s="22">
        <v>0</v>
      </c>
      <c r="L340" s="22">
        <v>0</v>
      </c>
      <c r="M340" s="22">
        <v>0</v>
      </c>
      <c r="N340" s="23">
        <v>44691.653472222199</v>
      </c>
      <c r="O340" s="23">
        <v>44750</v>
      </c>
      <c r="P340" s="24">
        <f t="shared" si="5"/>
        <v>59.346527777801398</v>
      </c>
      <c r="Q340" s="20" t="s">
        <v>31</v>
      </c>
      <c r="R340" s="20" t="s">
        <v>31</v>
      </c>
      <c r="S340" s="22" t="s">
        <v>32</v>
      </c>
      <c r="T340" s="20">
        <v>68008.11</v>
      </c>
      <c r="U340" s="22" t="s">
        <v>36</v>
      </c>
      <c r="V340" s="25">
        <v>44707.663101851896</v>
      </c>
      <c r="W340" s="20" t="s">
        <v>34</v>
      </c>
      <c r="X340" s="20"/>
      <c r="Y340" s="26">
        <v>44.604444444004898</v>
      </c>
      <c r="Z340" s="22" t="s">
        <v>35</v>
      </c>
      <c r="AA340" s="27" t="s">
        <v>34</v>
      </c>
      <c r="AB340" s="27" t="s">
        <v>31</v>
      </c>
      <c r="AC340" s="28" t="s">
        <v>31</v>
      </c>
      <c r="AD340" s="28" t="s">
        <v>31</v>
      </c>
    </row>
    <row r="341" spans="1:30" ht="14.55" customHeight="1" x14ac:dyDescent="0.4">
      <c r="A341" s="20">
        <v>1</v>
      </c>
      <c r="B341" s="20">
        <v>346</v>
      </c>
      <c r="C341" s="21">
        <v>65</v>
      </c>
      <c r="D341" s="22" t="s">
        <v>30</v>
      </c>
      <c r="E341" s="22">
        <v>1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2">
        <v>0</v>
      </c>
      <c r="M341" s="22">
        <v>0</v>
      </c>
      <c r="N341" s="23">
        <v>43908.649305555598</v>
      </c>
      <c r="O341" s="23">
        <v>43915</v>
      </c>
      <c r="P341" s="24">
        <f t="shared" si="5"/>
        <v>7.3506944444015998</v>
      </c>
      <c r="Q341" s="20" t="s">
        <v>31</v>
      </c>
      <c r="R341" s="20" t="s">
        <v>31</v>
      </c>
      <c r="S341" s="22" t="s">
        <v>32</v>
      </c>
      <c r="T341" s="20">
        <v>31964.37</v>
      </c>
      <c r="U341" s="20" t="s">
        <v>36</v>
      </c>
      <c r="V341" s="25">
        <v>43913.432812500003</v>
      </c>
      <c r="W341" s="20" t="s">
        <v>34</v>
      </c>
      <c r="X341" s="20"/>
      <c r="Y341" s="26">
        <v>239.356388889486</v>
      </c>
      <c r="Z341" s="22" t="s">
        <v>35</v>
      </c>
      <c r="AA341" s="27" t="s">
        <v>34</v>
      </c>
      <c r="AB341" s="27" t="s">
        <v>31</v>
      </c>
      <c r="AC341" s="28" t="s">
        <v>31</v>
      </c>
      <c r="AD341" s="28" t="s">
        <v>31</v>
      </c>
    </row>
    <row r="342" spans="1:30" ht="14.55" customHeight="1" x14ac:dyDescent="0.4">
      <c r="A342" s="20">
        <v>1</v>
      </c>
      <c r="B342" s="20">
        <v>347</v>
      </c>
      <c r="C342" s="21">
        <v>69</v>
      </c>
      <c r="D342" s="22" t="s">
        <v>30</v>
      </c>
      <c r="E342" s="22">
        <v>0</v>
      </c>
      <c r="F342" s="22">
        <v>1</v>
      </c>
      <c r="G342" s="22">
        <v>0</v>
      </c>
      <c r="H342" s="22">
        <v>1</v>
      </c>
      <c r="I342" s="22">
        <v>0</v>
      </c>
      <c r="J342" s="22">
        <v>0</v>
      </c>
      <c r="K342" s="22">
        <v>1</v>
      </c>
      <c r="L342" s="22">
        <v>0</v>
      </c>
      <c r="M342" s="22">
        <v>0</v>
      </c>
      <c r="N342" s="23">
        <v>44755.659027777801</v>
      </c>
      <c r="O342" s="23">
        <v>44763</v>
      </c>
      <c r="P342" s="24">
        <f t="shared" si="5"/>
        <v>8.3409722221986193</v>
      </c>
      <c r="Q342" s="20" t="s">
        <v>31</v>
      </c>
      <c r="R342" s="20" t="s">
        <v>31</v>
      </c>
      <c r="S342" s="22" t="s">
        <v>32</v>
      </c>
      <c r="T342" s="20">
        <v>9218.9699999999993</v>
      </c>
      <c r="U342" s="20" t="s">
        <v>36</v>
      </c>
      <c r="V342" s="25">
        <v>44761.485347222202</v>
      </c>
      <c r="W342" s="20" t="s">
        <v>34</v>
      </c>
      <c r="X342" s="20"/>
      <c r="Y342" s="26">
        <v>46.023888890398702</v>
      </c>
      <c r="Z342" s="22" t="s">
        <v>35</v>
      </c>
      <c r="AA342" s="27" t="s">
        <v>34</v>
      </c>
      <c r="AB342" s="27" t="s">
        <v>31</v>
      </c>
      <c r="AC342" s="28" t="s">
        <v>31</v>
      </c>
      <c r="AD342" s="28" t="s">
        <v>31</v>
      </c>
    </row>
    <row r="343" spans="1:30" ht="14.55" customHeight="1" x14ac:dyDescent="0.4">
      <c r="A343" s="20">
        <v>1</v>
      </c>
      <c r="B343" s="20">
        <v>348</v>
      </c>
      <c r="C343" s="21">
        <v>69</v>
      </c>
      <c r="D343" s="22" t="s">
        <v>30</v>
      </c>
      <c r="E343" s="22">
        <v>0</v>
      </c>
      <c r="F343" s="22">
        <v>1</v>
      </c>
      <c r="G343" s="22">
        <v>0</v>
      </c>
      <c r="H343" s="22">
        <v>1</v>
      </c>
      <c r="I343" s="22">
        <v>1</v>
      </c>
      <c r="J343" s="22">
        <v>0</v>
      </c>
      <c r="K343" s="22">
        <v>0</v>
      </c>
      <c r="L343" s="22">
        <v>1</v>
      </c>
      <c r="M343" s="22">
        <v>0</v>
      </c>
      <c r="N343" s="23">
        <v>44521.4819444444</v>
      </c>
      <c r="O343" s="23">
        <v>44566</v>
      </c>
      <c r="P343" s="24">
        <f t="shared" si="5"/>
        <v>45.518055555599901</v>
      </c>
      <c r="Q343" s="20" t="s">
        <v>31</v>
      </c>
      <c r="R343" s="20" t="s">
        <v>31</v>
      </c>
      <c r="S343" s="22" t="s">
        <v>32</v>
      </c>
      <c r="T343" s="20">
        <v>255425.16</v>
      </c>
      <c r="U343" s="20" t="s">
        <v>36</v>
      </c>
      <c r="V343" s="25">
        <v>44522.7020486111</v>
      </c>
      <c r="W343" s="20" t="s">
        <v>44</v>
      </c>
      <c r="X343" s="20"/>
      <c r="Y343" s="26">
        <v>63.964722223172402</v>
      </c>
      <c r="Z343" s="22" t="s">
        <v>35</v>
      </c>
      <c r="AA343" s="27">
        <v>1</v>
      </c>
      <c r="AB343" s="27" t="s">
        <v>31</v>
      </c>
      <c r="AC343" s="28">
        <v>1</v>
      </c>
      <c r="AD343" s="28" t="s">
        <v>31</v>
      </c>
    </row>
    <row r="344" spans="1:30" ht="14.55" customHeight="1" x14ac:dyDescent="0.4">
      <c r="A344" s="20">
        <v>1</v>
      </c>
      <c r="B344" s="20">
        <v>349</v>
      </c>
      <c r="C344" s="21">
        <v>66</v>
      </c>
      <c r="D344" s="22" t="s">
        <v>30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0</v>
      </c>
      <c r="K344" s="22">
        <v>0</v>
      </c>
      <c r="L344" s="22">
        <v>0</v>
      </c>
      <c r="M344" s="22">
        <v>0</v>
      </c>
      <c r="N344" s="23">
        <v>44338.445833333302</v>
      </c>
      <c r="O344" s="23">
        <v>44370</v>
      </c>
      <c r="P344" s="24">
        <f t="shared" si="5"/>
        <v>32.554166666697697</v>
      </c>
      <c r="Q344" s="20" t="s">
        <v>31</v>
      </c>
      <c r="R344" s="20" t="s">
        <v>31</v>
      </c>
      <c r="S344" s="22" t="s">
        <v>32</v>
      </c>
      <c r="T344" s="20">
        <v>103037.27</v>
      </c>
      <c r="U344" s="20" t="s">
        <v>36</v>
      </c>
      <c r="V344" s="25">
        <v>44350.464618055601</v>
      </c>
      <c r="W344" s="20" t="s">
        <v>34</v>
      </c>
      <c r="X344" s="20"/>
      <c r="Y344" s="26">
        <v>49.394444443169</v>
      </c>
      <c r="Z344" s="22" t="s">
        <v>35</v>
      </c>
      <c r="AA344" s="27" t="s">
        <v>34</v>
      </c>
      <c r="AB344" s="27" t="s">
        <v>31</v>
      </c>
      <c r="AC344" s="28" t="s">
        <v>31</v>
      </c>
      <c r="AD344" s="28" t="s">
        <v>31</v>
      </c>
    </row>
    <row r="345" spans="1:30" ht="14.55" customHeight="1" x14ac:dyDescent="0.4">
      <c r="A345" s="20">
        <v>1</v>
      </c>
      <c r="B345" s="20">
        <v>350</v>
      </c>
      <c r="C345" s="21">
        <v>66</v>
      </c>
      <c r="D345" s="22" t="s">
        <v>30</v>
      </c>
      <c r="E345" s="22">
        <v>0</v>
      </c>
      <c r="F345" s="22">
        <v>0</v>
      </c>
      <c r="G345" s="22">
        <v>0</v>
      </c>
      <c r="H345" s="22">
        <v>0</v>
      </c>
      <c r="I345" s="22">
        <v>1</v>
      </c>
      <c r="J345" s="22">
        <v>1</v>
      </c>
      <c r="K345" s="22">
        <v>0</v>
      </c>
      <c r="L345" s="22">
        <v>0</v>
      </c>
      <c r="M345" s="22">
        <v>0</v>
      </c>
      <c r="N345" s="23">
        <v>44012.602083333302</v>
      </c>
      <c r="O345" s="23">
        <v>44020</v>
      </c>
      <c r="P345" s="24">
        <f t="shared" si="5"/>
        <v>8.3979166666977108</v>
      </c>
      <c r="Q345" s="20" t="s">
        <v>31</v>
      </c>
      <c r="R345" s="20" t="s">
        <v>31</v>
      </c>
      <c r="S345" s="22" t="s">
        <v>32</v>
      </c>
      <c r="T345" s="20">
        <v>9721.66</v>
      </c>
      <c r="U345" s="20" t="s">
        <v>39</v>
      </c>
      <c r="V345" s="25">
        <v>44015.497824074097</v>
      </c>
      <c r="W345" s="20" t="s">
        <v>34</v>
      </c>
      <c r="X345" s="20"/>
      <c r="Y345" s="26">
        <v>47.2947222216753</v>
      </c>
      <c r="Z345" s="22" t="s">
        <v>35</v>
      </c>
      <c r="AA345" s="27" t="s">
        <v>34</v>
      </c>
      <c r="AB345" s="27" t="s">
        <v>31</v>
      </c>
      <c r="AC345" s="28" t="s">
        <v>31</v>
      </c>
      <c r="AD345" s="28" t="s">
        <v>31</v>
      </c>
    </row>
    <row r="346" spans="1:30" ht="14.55" customHeight="1" x14ac:dyDescent="0.4">
      <c r="A346" s="20">
        <v>1</v>
      </c>
      <c r="B346" s="20">
        <v>351</v>
      </c>
      <c r="C346" s="21">
        <v>67</v>
      </c>
      <c r="D346" s="22" t="s">
        <v>30</v>
      </c>
      <c r="E346" s="22">
        <v>0</v>
      </c>
      <c r="F346" s="22">
        <v>1</v>
      </c>
      <c r="G346" s="22">
        <v>0</v>
      </c>
      <c r="H346" s="22">
        <v>0</v>
      </c>
      <c r="I346" s="22">
        <v>0</v>
      </c>
      <c r="J346" s="22">
        <v>0</v>
      </c>
      <c r="K346" s="22">
        <v>0</v>
      </c>
      <c r="L346" s="22">
        <v>0</v>
      </c>
      <c r="M346" s="22">
        <v>0</v>
      </c>
      <c r="N346" s="23">
        <v>44416.585416666698</v>
      </c>
      <c r="O346" s="23">
        <v>44421</v>
      </c>
      <c r="P346" s="24">
        <f t="shared" si="5"/>
        <v>5.4145833333022901</v>
      </c>
      <c r="Q346" s="20" t="s">
        <v>31</v>
      </c>
      <c r="R346" s="20" t="s">
        <v>31</v>
      </c>
      <c r="S346" s="22" t="s">
        <v>32</v>
      </c>
      <c r="T346" s="20">
        <v>7868.11</v>
      </c>
      <c r="U346" s="20" t="s">
        <v>39</v>
      </c>
      <c r="V346" s="25">
        <v>44419.489374999997</v>
      </c>
      <c r="W346" s="20" t="s">
        <v>34</v>
      </c>
      <c r="X346" s="20"/>
      <c r="Y346" s="26">
        <v>47.620277776848503</v>
      </c>
      <c r="Z346" s="22" t="s">
        <v>35</v>
      </c>
      <c r="AA346" s="27" t="s">
        <v>34</v>
      </c>
      <c r="AB346" s="27" t="s">
        <v>31</v>
      </c>
      <c r="AC346" s="28" t="s">
        <v>31</v>
      </c>
      <c r="AD346" s="28" t="s">
        <v>31</v>
      </c>
    </row>
    <row r="347" spans="1:30" ht="14.55" customHeight="1" x14ac:dyDescent="0.4">
      <c r="A347" s="20">
        <v>1</v>
      </c>
      <c r="B347" s="20">
        <v>352</v>
      </c>
      <c r="C347" s="21">
        <v>67</v>
      </c>
      <c r="D347" s="22" t="s">
        <v>30</v>
      </c>
      <c r="E347" s="22">
        <v>0</v>
      </c>
      <c r="F347" s="22">
        <v>1</v>
      </c>
      <c r="G347" s="22">
        <v>0</v>
      </c>
      <c r="H347" s="22">
        <v>1</v>
      </c>
      <c r="I347" s="22">
        <v>0</v>
      </c>
      <c r="J347" s="22">
        <v>0</v>
      </c>
      <c r="K347" s="22">
        <v>1</v>
      </c>
      <c r="L347" s="22">
        <v>0</v>
      </c>
      <c r="M347" s="22">
        <v>0</v>
      </c>
      <c r="N347" s="23">
        <v>44336.627777777801</v>
      </c>
      <c r="O347" s="23">
        <v>44344</v>
      </c>
      <c r="P347" s="24">
        <f t="shared" si="5"/>
        <v>8.3722222221986193</v>
      </c>
      <c r="Q347" s="20" t="s">
        <v>31</v>
      </c>
      <c r="R347" s="20" t="s">
        <v>31</v>
      </c>
      <c r="S347" s="22" t="s">
        <v>32</v>
      </c>
      <c r="T347" s="20">
        <v>9389.32</v>
      </c>
      <c r="U347" s="20" t="s">
        <v>36</v>
      </c>
      <c r="V347" s="25">
        <v>44340.464155092603</v>
      </c>
      <c r="W347" s="20" t="s">
        <v>34</v>
      </c>
      <c r="X347" s="20"/>
      <c r="Y347" s="26">
        <v>1511.7977777783501</v>
      </c>
      <c r="Z347" s="22" t="s">
        <v>35</v>
      </c>
      <c r="AA347" s="27" t="s">
        <v>34</v>
      </c>
      <c r="AB347" s="27" t="s">
        <v>31</v>
      </c>
      <c r="AC347" s="28" t="s">
        <v>31</v>
      </c>
      <c r="AD347" s="28" t="s">
        <v>31</v>
      </c>
    </row>
    <row r="348" spans="1:30" ht="14.55" customHeight="1" x14ac:dyDescent="0.4">
      <c r="A348" s="20">
        <v>1</v>
      </c>
      <c r="B348" s="20">
        <v>353</v>
      </c>
      <c r="C348" s="21">
        <v>69</v>
      </c>
      <c r="D348" s="22" t="s">
        <v>30</v>
      </c>
      <c r="E348" s="22">
        <v>0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2">
        <v>0</v>
      </c>
      <c r="M348" s="22">
        <v>0</v>
      </c>
      <c r="N348" s="23">
        <v>44801.496527777803</v>
      </c>
      <c r="O348" s="23">
        <v>44853</v>
      </c>
      <c r="P348" s="24">
        <f t="shared" si="5"/>
        <v>52.503472222197203</v>
      </c>
      <c r="Q348" s="20" t="s">
        <v>31</v>
      </c>
      <c r="R348" s="20" t="s">
        <v>31</v>
      </c>
      <c r="S348" s="20" t="s">
        <v>32</v>
      </c>
      <c r="T348" s="26">
        <v>555816.6</v>
      </c>
      <c r="U348" s="20" t="s">
        <v>40</v>
      </c>
      <c r="V348" s="25">
        <v>44805.618425925903</v>
      </c>
      <c r="W348" s="20" t="s">
        <v>34</v>
      </c>
      <c r="X348" s="20"/>
      <c r="Y348" s="26">
        <v>45.153055555187201</v>
      </c>
      <c r="Z348" s="22" t="s">
        <v>35</v>
      </c>
      <c r="AA348" s="27" t="s">
        <v>34</v>
      </c>
      <c r="AB348" s="27" t="s">
        <v>31</v>
      </c>
      <c r="AC348" s="28" t="s">
        <v>31</v>
      </c>
      <c r="AD348" s="28" t="s">
        <v>31</v>
      </c>
    </row>
    <row r="349" spans="1:30" ht="14.55" customHeight="1" x14ac:dyDescent="0.4">
      <c r="A349" s="20">
        <v>1</v>
      </c>
      <c r="B349" s="20">
        <v>354</v>
      </c>
      <c r="C349" s="21">
        <v>68</v>
      </c>
      <c r="D349" s="22" t="s">
        <v>30</v>
      </c>
      <c r="E349" s="22">
        <v>0</v>
      </c>
      <c r="F349" s="22">
        <v>0</v>
      </c>
      <c r="G349" s="22">
        <v>0</v>
      </c>
      <c r="H349" s="22">
        <v>1</v>
      </c>
      <c r="I349" s="22">
        <v>1</v>
      </c>
      <c r="J349" s="22">
        <v>0</v>
      </c>
      <c r="K349" s="22">
        <v>0</v>
      </c>
      <c r="L349" s="22">
        <v>0</v>
      </c>
      <c r="M349" s="22">
        <v>0</v>
      </c>
      <c r="N349" s="23">
        <v>44733.838194444397</v>
      </c>
      <c r="O349" s="23">
        <v>44755</v>
      </c>
      <c r="P349" s="24">
        <f t="shared" si="5"/>
        <v>22.1618055556028</v>
      </c>
      <c r="Q349" s="20" t="s">
        <v>31</v>
      </c>
      <c r="R349" s="20" t="s">
        <v>31</v>
      </c>
      <c r="S349" s="20" t="s">
        <v>32</v>
      </c>
      <c r="T349" s="20">
        <v>175988.08</v>
      </c>
      <c r="U349" s="20" t="s">
        <v>40</v>
      </c>
      <c r="V349" s="25">
        <v>44740.535775463002</v>
      </c>
      <c r="W349" s="20" t="s">
        <v>44</v>
      </c>
      <c r="X349" s="20"/>
      <c r="Y349" s="26">
        <v>70.788333333504895</v>
      </c>
      <c r="Z349" s="22" t="s">
        <v>35</v>
      </c>
      <c r="AA349" s="27">
        <v>1</v>
      </c>
      <c r="AB349" s="27" t="s">
        <v>31</v>
      </c>
      <c r="AC349" s="28">
        <v>1</v>
      </c>
      <c r="AD349" s="28" t="s">
        <v>31</v>
      </c>
    </row>
    <row r="350" spans="1:30" ht="14.55" customHeight="1" x14ac:dyDescent="0.4">
      <c r="A350" s="20">
        <v>1</v>
      </c>
      <c r="B350" s="20">
        <v>355</v>
      </c>
      <c r="C350" s="21">
        <v>67</v>
      </c>
      <c r="D350" s="22" t="s">
        <v>30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0</v>
      </c>
      <c r="K350" s="22">
        <v>0</v>
      </c>
      <c r="L350" s="22">
        <v>0</v>
      </c>
      <c r="M350" s="22">
        <v>0</v>
      </c>
      <c r="N350" s="23">
        <v>44956.411111111098</v>
      </c>
      <c r="O350" s="23">
        <v>44968</v>
      </c>
      <c r="P350" s="24">
        <f t="shared" si="5"/>
        <v>12.588888888902099</v>
      </c>
      <c r="Q350" s="20" t="s">
        <v>31</v>
      </c>
      <c r="R350" s="20" t="s">
        <v>31</v>
      </c>
      <c r="S350" s="20" t="s">
        <v>32</v>
      </c>
      <c r="T350" s="20">
        <v>18570.71</v>
      </c>
      <c r="U350" s="22" t="s">
        <v>36</v>
      </c>
      <c r="V350" s="25">
        <v>44966.629618055602</v>
      </c>
      <c r="W350" s="20" t="s">
        <v>34</v>
      </c>
      <c r="X350" s="20"/>
      <c r="Y350" s="26">
        <v>44.211666664690703</v>
      </c>
      <c r="Z350" s="22" t="s">
        <v>35</v>
      </c>
      <c r="AA350" s="27" t="s">
        <v>34</v>
      </c>
      <c r="AB350" s="27" t="s">
        <v>31</v>
      </c>
      <c r="AC350" s="28" t="s">
        <v>31</v>
      </c>
      <c r="AD350" s="28" t="s">
        <v>31</v>
      </c>
    </row>
    <row r="351" spans="1:30" ht="14.55" customHeight="1" x14ac:dyDescent="0.4">
      <c r="A351" s="20">
        <v>1</v>
      </c>
      <c r="B351" s="20">
        <v>356</v>
      </c>
      <c r="C351" s="21">
        <v>68</v>
      </c>
      <c r="D351" s="22" t="s">
        <v>30</v>
      </c>
      <c r="E351" s="22">
        <v>0</v>
      </c>
      <c r="F351" s="22">
        <v>1</v>
      </c>
      <c r="G351" s="22">
        <v>0</v>
      </c>
      <c r="H351" s="22">
        <v>1</v>
      </c>
      <c r="I351" s="22">
        <v>0</v>
      </c>
      <c r="J351" s="22">
        <v>0</v>
      </c>
      <c r="K351" s="22">
        <v>0</v>
      </c>
      <c r="L351" s="22">
        <v>0</v>
      </c>
      <c r="M351" s="22">
        <v>0</v>
      </c>
      <c r="N351" s="23">
        <v>44397.6069444444</v>
      </c>
      <c r="O351" s="23">
        <v>44410</v>
      </c>
      <c r="P351" s="24">
        <f t="shared" si="5"/>
        <v>13.393055555599901</v>
      </c>
      <c r="Q351" s="20" t="s">
        <v>31</v>
      </c>
      <c r="R351" s="20" t="s">
        <v>31</v>
      </c>
      <c r="S351" s="22" t="s">
        <v>32</v>
      </c>
      <c r="T351" s="20">
        <v>10173.870000000001</v>
      </c>
      <c r="U351" s="20" t="s">
        <v>36</v>
      </c>
      <c r="V351" s="25">
        <v>44403.487777777802</v>
      </c>
      <c r="W351" s="20" t="s">
        <v>34</v>
      </c>
      <c r="X351" s="20"/>
      <c r="Y351" s="26">
        <v>45.171666667156401</v>
      </c>
      <c r="Z351" s="22" t="s">
        <v>35</v>
      </c>
      <c r="AA351" s="27" t="s">
        <v>34</v>
      </c>
      <c r="AB351" s="27" t="s">
        <v>31</v>
      </c>
      <c r="AC351" s="28" t="s">
        <v>31</v>
      </c>
      <c r="AD351" s="28" t="s">
        <v>31</v>
      </c>
    </row>
    <row r="352" spans="1:30" ht="14.55" customHeight="1" x14ac:dyDescent="0.4">
      <c r="A352" s="20">
        <v>1</v>
      </c>
      <c r="B352" s="20">
        <v>357</v>
      </c>
      <c r="C352" s="21">
        <v>67</v>
      </c>
      <c r="D352" s="22" t="s">
        <v>30</v>
      </c>
      <c r="E352" s="22">
        <v>0</v>
      </c>
      <c r="F352" s="22">
        <v>1</v>
      </c>
      <c r="G352" s="22">
        <v>1</v>
      </c>
      <c r="H352" s="22">
        <v>0</v>
      </c>
      <c r="I352" s="22">
        <v>0</v>
      </c>
      <c r="J352" s="22">
        <v>0</v>
      </c>
      <c r="K352" s="22">
        <v>0</v>
      </c>
      <c r="L352" s="22">
        <v>0</v>
      </c>
      <c r="M352" s="22">
        <v>0</v>
      </c>
      <c r="N352" s="23">
        <v>44853.622916666704</v>
      </c>
      <c r="O352" s="23">
        <v>44862</v>
      </c>
      <c r="P352" s="24">
        <f t="shared" si="5"/>
        <v>9.3770833332964703</v>
      </c>
      <c r="Q352" s="20" t="s">
        <v>31</v>
      </c>
      <c r="R352" s="20" t="s">
        <v>31</v>
      </c>
      <c r="S352" s="22" t="s">
        <v>32</v>
      </c>
      <c r="T352" s="26">
        <v>18634.5</v>
      </c>
      <c r="U352" s="20" t="s">
        <v>36</v>
      </c>
      <c r="V352" s="25">
        <v>44855.647164351903</v>
      </c>
      <c r="W352" s="20" t="s">
        <v>34</v>
      </c>
      <c r="X352" s="20"/>
      <c r="Y352" s="26">
        <v>44.575555555173203</v>
      </c>
      <c r="Z352" s="22" t="s">
        <v>35</v>
      </c>
      <c r="AA352" s="27" t="s">
        <v>34</v>
      </c>
      <c r="AB352" s="27" t="s">
        <v>31</v>
      </c>
      <c r="AC352" s="28" t="s">
        <v>31</v>
      </c>
      <c r="AD352" s="28" t="s">
        <v>31</v>
      </c>
    </row>
    <row r="353" spans="1:30" ht="14.55" customHeight="1" x14ac:dyDescent="0.4">
      <c r="A353" s="20">
        <v>1</v>
      </c>
      <c r="B353" s="20">
        <v>358</v>
      </c>
      <c r="C353" s="21">
        <v>66</v>
      </c>
      <c r="D353" s="22" t="s">
        <v>30</v>
      </c>
      <c r="E353" s="22">
        <v>0</v>
      </c>
      <c r="F353" s="22">
        <v>1</v>
      </c>
      <c r="G353" s="22">
        <v>0</v>
      </c>
      <c r="H353" s="22">
        <v>1</v>
      </c>
      <c r="I353" s="22">
        <v>1</v>
      </c>
      <c r="J353" s="22">
        <v>0</v>
      </c>
      <c r="K353" s="22">
        <v>0</v>
      </c>
      <c r="L353" s="22">
        <v>0</v>
      </c>
      <c r="M353" s="22">
        <v>0</v>
      </c>
      <c r="N353" s="23">
        <v>44696.465277777803</v>
      </c>
      <c r="O353" s="23">
        <v>44739</v>
      </c>
      <c r="P353" s="24">
        <f t="shared" si="5"/>
        <v>43.534722222197203</v>
      </c>
      <c r="Q353" s="20" t="s">
        <v>31</v>
      </c>
      <c r="R353" s="20" t="s">
        <v>31</v>
      </c>
      <c r="S353" s="22" t="s">
        <v>32</v>
      </c>
      <c r="T353" s="20">
        <v>62823.47</v>
      </c>
      <c r="U353" s="20" t="s">
        <v>36</v>
      </c>
      <c r="V353" s="25">
        <v>44708.483900462998</v>
      </c>
      <c r="W353" s="20" t="s">
        <v>41</v>
      </c>
      <c r="X353" s="20"/>
      <c r="Y353" s="26">
        <v>68.248888888803805</v>
      </c>
      <c r="Z353" s="22" t="s">
        <v>35</v>
      </c>
      <c r="AA353" s="27">
        <v>1</v>
      </c>
      <c r="AB353" s="27" t="s">
        <v>31</v>
      </c>
      <c r="AC353" s="28">
        <v>1</v>
      </c>
      <c r="AD353" s="28" t="s">
        <v>31</v>
      </c>
    </row>
    <row r="354" spans="1:30" ht="14.55" customHeight="1" x14ac:dyDescent="0.4">
      <c r="A354" s="20">
        <v>1</v>
      </c>
      <c r="B354" s="20">
        <v>359</v>
      </c>
      <c r="C354" s="21">
        <v>65</v>
      </c>
      <c r="D354" s="22" t="s">
        <v>30</v>
      </c>
      <c r="E354" s="22">
        <v>0</v>
      </c>
      <c r="F354" s="22">
        <v>1</v>
      </c>
      <c r="G354" s="22">
        <v>0</v>
      </c>
      <c r="H354" s="22">
        <v>0</v>
      </c>
      <c r="I354" s="22">
        <v>0</v>
      </c>
      <c r="J354" s="22">
        <v>0</v>
      </c>
      <c r="K354" s="22">
        <v>0</v>
      </c>
      <c r="L354" s="22">
        <v>1</v>
      </c>
      <c r="M354" s="22">
        <v>0</v>
      </c>
      <c r="N354" s="23">
        <v>44072.628472222197</v>
      </c>
      <c r="O354" s="23">
        <v>44075</v>
      </c>
      <c r="P354" s="24">
        <f t="shared" si="5"/>
        <v>3.3715277778028399</v>
      </c>
      <c r="Q354" s="20" t="s">
        <v>31</v>
      </c>
      <c r="R354" s="20" t="s">
        <v>31</v>
      </c>
      <c r="S354" s="22" t="s">
        <v>32</v>
      </c>
      <c r="T354" s="20">
        <v>10090.84</v>
      </c>
      <c r="U354" s="22" t="s">
        <v>39</v>
      </c>
      <c r="V354" s="25">
        <v>44075.4912847222</v>
      </c>
      <c r="W354" s="20" t="s">
        <v>43</v>
      </c>
      <c r="X354" s="20"/>
      <c r="Y354" s="26">
        <v>73.703055556747103</v>
      </c>
      <c r="Z354" s="22" t="s">
        <v>35</v>
      </c>
      <c r="AA354" s="27">
        <v>1</v>
      </c>
      <c r="AB354" s="27" t="s">
        <v>31</v>
      </c>
      <c r="AC354" s="28">
        <v>1</v>
      </c>
      <c r="AD354" s="28" t="s">
        <v>31</v>
      </c>
    </row>
    <row r="355" spans="1:30" ht="14.55" customHeight="1" x14ac:dyDescent="0.4">
      <c r="A355" s="20">
        <v>1</v>
      </c>
      <c r="B355" s="20">
        <v>360</v>
      </c>
      <c r="C355" s="21">
        <v>68</v>
      </c>
      <c r="D355" s="22" t="s">
        <v>30</v>
      </c>
      <c r="E355" s="22">
        <v>0</v>
      </c>
      <c r="F355" s="22">
        <v>0</v>
      </c>
      <c r="G355" s="22">
        <v>0</v>
      </c>
      <c r="H355" s="22">
        <v>1</v>
      </c>
      <c r="I355" s="22">
        <v>0</v>
      </c>
      <c r="J355" s="22">
        <v>0</v>
      </c>
      <c r="K355" s="22">
        <v>0</v>
      </c>
      <c r="L355" s="22">
        <v>1</v>
      </c>
      <c r="M355" s="22">
        <v>0</v>
      </c>
      <c r="N355" s="23">
        <v>44517.607638888898</v>
      </c>
      <c r="O355" s="23">
        <v>44524</v>
      </c>
      <c r="P355" s="24">
        <f t="shared" si="5"/>
        <v>7.3923611111022201</v>
      </c>
      <c r="Q355" s="20" t="s">
        <v>31</v>
      </c>
      <c r="R355" s="20" t="s">
        <v>31</v>
      </c>
      <c r="S355" s="22" t="s">
        <v>32</v>
      </c>
      <c r="T355" s="26">
        <v>12887.7</v>
      </c>
      <c r="U355" s="20" t="s">
        <v>36</v>
      </c>
      <c r="V355" s="25">
        <v>44519.6414814815</v>
      </c>
      <c r="W355" s="20" t="s">
        <v>34</v>
      </c>
      <c r="X355" s="20"/>
      <c r="Y355" s="26">
        <v>47.517222220776603</v>
      </c>
      <c r="Z355" s="22" t="s">
        <v>35</v>
      </c>
      <c r="AA355" s="27" t="s">
        <v>34</v>
      </c>
      <c r="AB355" s="27" t="s">
        <v>31</v>
      </c>
      <c r="AC355" s="28" t="s">
        <v>31</v>
      </c>
      <c r="AD355" s="28" t="s">
        <v>31</v>
      </c>
    </row>
    <row r="356" spans="1:30" ht="14.55" customHeight="1" x14ac:dyDescent="0.4">
      <c r="A356" s="20">
        <v>0</v>
      </c>
      <c r="B356" s="20">
        <v>1</v>
      </c>
      <c r="C356" s="30">
        <v>63</v>
      </c>
      <c r="D356" s="20" t="s">
        <v>38</v>
      </c>
      <c r="E356" s="20">
        <v>1</v>
      </c>
      <c r="F356" s="20">
        <v>1</v>
      </c>
      <c r="G356" s="20">
        <v>0</v>
      </c>
      <c r="H356" s="20">
        <v>0</v>
      </c>
      <c r="I356" s="20">
        <v>1</v>
      </c>
      <c r="J356" s="20">
        <v>0</v>
      </c>
      <c r="K356" s="20">
        <v>0</v>
      </c>
      <c r="L356" s="20">
        <v>0</v>
      </c>
      <c r="M356" s="20">
        <v>0</v>
      </c>
      <c r="N356" s="31">
        <v>43920</v>
      </c>
      <c r="O356" s="31">
        <v>43938</v>
      </c>
      <c r="P356" s="24">
        <f t="shared" si="5"/>
        <v>19</v>
      </c>
      <c r="Q356" s="32" t="s">
        <v>31</v>
      </c>
      <c r="R356" s="32" t="s">
        <v>31</v>
      </c>
      <c r="S356" s="32" t="s">
        <v>32</v>
      </c>
      <c r="T356" s="20">
        <v>24928.83</v>
      </c>
      <c r="U356" s="20" t="s">
        <v>69</v>
      </c>
      <c r="V356" s="20" t="s">
        <v>70</v>
      </c>
      <c r="W356" s="20" t="s">
        <v>34</v>
      </c>
      <c r="X356" s="20" t="s">
        <v>71</v>
      </c>
      <c r="Y356" s="26">
        <v>46</v>
      </c>
      <c r="Z356" s="26">
        <v>25.420636075548799</v>
      </c>
      <c r="AA356" s="27" t="s">
        <v>34</v>
      </c>
      <c r="AB356" s="33">
        <v>1</v>
      </c>
      <c r="AC356" s="20">
        <v>3</v>
      </c>
      <c r="AD356" s="28">
        <v>3</v>
      </c>
    </row>
    <row r="357" spans="1:30" ht="14.55" customHeight="1" x14ac:dyDescent="0.4">
      <c r="A357" s="20">
        <v>0</v>
      </c>
      <c r="B357" s="20">
        <v>2</v>
      </c>
      <c r="C357" s="30">
        <v>61</v>
      </c>
      <c r="D357" s="20" t="s">
        <v>30</v>
      </c>
      <c r="E357" s="20">
        <v>1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31">
        <v>43936</v>
      </c>
      <c r="O357" s="31">
        <v>43953</v>
      </c>
      <c r="P357" s="24">
        <f t="shared" si="5"/>
        <v>18</v>
      </c>
      <c r="Q357" s="32" t="s">
        <v>31</v>
      </c>
      <c r="R357" s="32" t="s">
        <v>31</v>
      </c>
      <c r="S357" s="32" t="s">
        <v>32</v>
      </c>
      <c r="T357" s="20">
        <v>10541.38</v>
      </c>
      <c r="U357" s="20" t="s">
        <v>40</v>
      </c>
      <c r="V357" s="20" t="s">
        <v>72</v>
      </c>
      <c r="W357" s="20" t="s">
        <v>34</v>
      </c>
      <c r="X357" s="20" t="s">
        <v>73</v>
      </c>
      <c r="Y357" s="26">
        <v>45</v>
      </c>
      <c r="Z357" s="26">
        <v>24.318782780319498</v>
      </c>
      <c r="AA357" s="27" t="s">
        <v>34</v>
      </c>
      <c r="AB357" s="33">
        <v>1</v>
      </c>
      <c r="AC357" s="20">
        <v>2</v>
      </c>
      <c r="AD357" s="28">
        <v>10</v>
      </c>
    </row>
    <row r="358" spans="1:30" ht="14.55" customHeight="1" x14ac:dyDescent="0.4">
      <c r="A358" s="20">
        <v>0</v>
      </c>
      <c r="B358" s="20">
        <v>3</v>
      </c>
      <c r="C358" s="30">
        <v>62</v>
      </c>
      <c r="D358" s="20" t="s">
        <v>30</v>
      </c>
      <c r="E358" s="20">
        <v>0</v>
      </c>
      <c r="F358" s="20">
        <v>0</v>
      </c>
      <c r="G358" s="20">
        <v>0</v>
      </c>
      <c r="H358" s="20">
        <v>0</v>
      </c>
      <c r="I358" s="20">
        <v>1</v>
      </c>
      <c r="J358" s="20">
        <v>0</v>
      </c>
      <c r="K358" s="20">
        <v>0</v>
      </c>
      <c r="L358" s="20">
        <v>0</v>
      </c>
      <c r="M358" s="20">
        <v>0</v>
      </c>
      <c r="N358" s="31">
        <v>43925</v>
      </c>
      <c r="O358" s="31">
        <v>43956</v>
      </c>
      <c r="P358" s="24">
        <f t="shared" si="5"/>
        <v>32</v>
      </c>
      <c r="Q358" s="32">
        <v>43926.890277777798</v>
      </c>
      <c r="R358" s="32" t="s">
        <v>74</v>
      </c>
      <c r="S358" s="32" t="s">
        <v>75</v>
      </c>
      <c r="T358" s="20">
        <v>650471.48</v>
      </c>
      <c r="U358" s="20" t="s">
        <v>36</v>
      </c>
      <c r="V358" s="20" t="s">
        <v>76</v>
      </c>
      <c r="W358" s="20" t="s">
        <v>77</v>
      </c>
      <c r="X358" s="20" t="s">
        <v>78</v>
      </c>
      <c r="Y358" s="26">
        <v>64</v>
      </c>
      <c r="Z358" s="26">
        <v>26.00881</v>
      </c>
      <c r="AA358" s="27">
        <v>1</v>
      </c>
      <c r="AB358" s="33">
        <v>1</v>
      </c>
      <c r="AC358" s="20">
        <v>1</v>
      </c>
      <c r="AD358" s="28">
        <v>23</v>
      </c>
    </row>
    <row r="359" spans="1:30" ht="14.55" customHeight="1" x14ac:dyDescent="0.4">
      <c r="A359" s="20">
        <v>0</v>
      </c>
      <c r="B359" s="20">
        <v>5</v>
      </c>
      <c r="C359" s="30">
        <v>55</v>
      </c>
      <c r="D359" s="20" t="s">
        <v>38</v>
      </c>
      <c r="E359" s="20">
        <v>0</v>
      </c>
      <c r="F359" s="20">
        <v>1</v>
      </c>
      <c r="G359" s="20">
        <v>1</v>
      </c>
      <c r="H359" s="20">
        <v>1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31">
        <v>43992</v>
      </c>
      <c r="O359" s="31">
        <v>44001</v>
      </c>
      <c r="P359" s="24">
        <f t="shared" si="5"/>
        <v>10</v>
      </c>
      <c r="Q359" s="32" t="s">
        <v>31</v>
      </c>
      <c r="R359" s="32" t="s">
        <v>31</v>
      </c>
      <c r="S359" s="32" t="s">
        <v>32</v>
      </c>
      <c r="T359" s="20">
        <v>10992.63</v>
      </c>
      <c r="U359" s="20" t="s">
        <v>40</v>
      </c>
      <c r="V359" s="20" t="s">
        <v>79</v>
      </c>
      <c r="W359" s="20" t="s">
        <v>34</v>
      </c>
      <c r="X359" s="20" t="s">
        <v>80</v>
      </c>
      <c r="Y359" s="26">
        <v>48</v>
      </c>
      <c r="Z359" s="26">
        <v>27.972474419511901</v>
      </c>
      <c r="AA359" s="27" t="s">
        <v>34</v>
      </c>
      <c r="AB359" s="33">
        <v>1</v>
      </c>
      <c r="AC359" s="20">
        <v>2</v>
      </c>
      <c r="AD359" s="28">
        <v>7</v>
      </c>
    </row>
    <row r="360" spans="1:30" ht="14.55" customHeight="1" x14ac:dyDescent="0.4">
      <c r="A360" s="20">
        <v>0</v>
      </c>
      <c r="B360" s="20">
        <v>6</v>
      </c>
      <c r="C360" s="30">
        <v>63</v>
      </c>
      <c r="D360" s="20" t="s">
        <v>30</v>
      </c>
      <c r="E360" s="20">
        <v>0</v>
      </c>
      <c r="F360" s="20">
        <v>1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31">
        <v>44026</v>
      </c>
      <c r="O360" s="31">
        <v>44040</v>
      </c>
      <c r="P360" s="24">
        <f t="shared" si="5"/>
        <v>15</v>
      </c>
      <c r="Q360" s="32" t="s">
        <v>31</v>
      </c>
      <c r="R360" s="32" t="s">
        <v>31</v>
      </c>
      <c r="S360" s="32" t="s">
        <v>32</v>
      </c>
      <c r="T360" s="20">
        <v>14353.46</v>
      </c>
      <c r="U360" s="20" t="s">
        <v>40</v>
      </c>
      <c r="V360" s="20" t="s">
        <v>81</v>
      </c>
      <c r="W360" s="20" t="s">
        <v>34</v>
      </c>
      <c r="X360" s="20" t="s">
        <v>82</v>
      </c>
      <c r="Y360" s="26">
        <v>48</v>
      </c>
      <c r="Z360" s="26">
        <v>25.663552149198999</v>
      </c>
      <c r="AA360" s="27" t="s">
        <v>34</v>
      </c>
      <c r="AB360" s="33">
        <v>1</v>
      </c>
      <c r="AC360" s="20">
        <v>2</v>
      </c>
      <c r="AD360" s="28">
        <v>3</v>
      </c>
    </row>
    <row r="361" spans="1:30" ht="14.55" customHeight="1" x14ac:dyDescent="0.4">
      <c r="A361" s="20">
        <v>0</v>
      </c>
      <c r="B361" s="20">
        <v>8</v>
      </c>
      <c r="C361" s="30">
        <v>68</v>
      </c>
      <c r="D361" s="20" t="s">
        <v>38</v>
      </c>
      <c r="E361" s="20">
        <v>0</v>
      </c>
      <c r="F361" s="20">
        <v>1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31">
        <v>44030</v>
      </c>
      <c r="O361" s="31">
        <v>44047</v>
      </c>
      <c r="P361" s="24">
        <f t="shared" si="5"/>
        <v>18</v>
      </c>
      <c r="Q361" s="32" t="s">
        <v>31</v>
      </c>
      <c r="R361" s="32" t="s">
        <v>31</v>
      </c>
      <c r="S361" s="32" t="s">
        <v>32</v>
      </c>
      <c r="T361" s="20">
        <v>28873.42</v>
      </c>
      <c r="U361" s="20" t="s">
        <v>69</v>
      </c>
      <c r="V361" s="20" t="s">
        <v>83</v>
      </c>
      <c r="W361" s="20" t="s">
        <v>34</v>
      </c>
      <c r="X361" s="20" t="s">
        <v>84</v>
      </c>
      <c r="Y361" s="26">
        <v>46</v>
      </c>
      <c r="Z361" s="26">
        <v>24.8906863974407</v>
      </c>
      <c r="AA361" s="27" t="s">
        <v>34</v>
      </c>
      <c r="AB361" s="33">
        <v>0</v>
      </c>
      <c r="AC361" s="20" t="s">
        <v>31</v>
      </c>
      <c r="AD361" s="28">
        <v>5</v>
      </c>
    </row>
    <row r="362" spans="1:30" ht="14.55" customHeight="1" x14ac:dyDescent="0.4">
      <c r="A362" s="20">
        <v>0</v>
      </c>
      <c r="B362" s="20">
        <v>9</v>
      </c>
      <c r="C362" s="30">
        <v>66</v>
      </c>
      <c r="D362" s="20" t="s">
        <v>30</v>
      </c>
      <c r="E362" s="20">
        <v>0</v>
      </c>
      <c r="F362" s="20">
        <v>1</v>
      </c>
      <c r="G362" s="20">
        <v>0</v>
      </c>
      <c r="H362" s="20">
        <v>0</v>
      </c>
      <c r="I362" s="20">
        <v>1</v>
      </c>
      <c r="J362" s="20">
        <v>0</v>
      </c>
      <c r="K362" s="20">
        <v>0</v>
      </c>
      <c r="L362" s="20">
        <v>0</v>
      </c>
      <c r="M362" s="20">
        <v>0</v>
      </c>
      <c r="N362" s="31">
        <v>44043</v>
      </c>
      <c r="O362" s="31">
        <v>44055</v>
      </c>
      <c r="P362" s="24">
        <f t="shared" si="5"/>
        <v>13</v>
      </c>
      <c r="Q362" s="32" t="s">
        <v>31</v>
      </c>
      <c r="R362" s="32" t="s">
        <v>31</v>
      </c>
      <c r="S362" s="32" t="s">
        <v>32</v>
      </c>
      <c r="T362" s="20">
        <v>11157.02</v>
      </c>
      <c r="U362" s="20" t="s">
        <v>69</v>
      </c>
      <c r="V362" s="20" t="s">
        <v>85</v>
      </c>
      <c r="W362" s="20" t="s">
        <v>34</v>
      </c>
      <c r="X362" s="20" t="s">
        <v>86</v>
      </c>
      <c r="Y362" s="26">
        <v>48</v>
      </c>
      <c r="Z362" s="26">
        <v>24.5647105034441</v>
      </c>
      <c r="AA362" s="27" t="s">
        <v>34</v>
      </c>
      <c r="AB362" s="33">
        <v>1</v>
      </c>
      <c r="AC362" s="20">
        <v>2</v>
      </c>
      <c r="AD362" s="28">
        <v>7</v>
      </c>
    </row>
    <row r="363" spans="1:30" ht="14.55" customHeight="1" x14ac:dyDescent="0.4">
      <c r="A363" s="20">
        <v>0</v>
      </c>
      <c r="B363" s="20">
        <v>10</v>
      </c>
      <c r="C363" s="30">
        <v>56</v>
      </c>
      <c r="D363" s="20" t="s">
        <v>30</v>
      </c>
      <c r="E363" s="20">
        <v>0</v>
      </c>
      <c r="F363" s="20">
        <v>0</v>
      </c>
      <c r="G363" s="20">
        <v>1</v>
      </c>
      <c r="H363" s="20">
        <v>1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31">
        <v>44031</v>
      </c>
      <c r="O363" s="31">
        <v>44099</v>
      </c>
      <c r="P363" s="24">
        <f t="shared" si="5"/>
        <v>69</v>
      </c>
      <c r="Q363" s="20" t="s">
        <v>87</v>
      </c>
      <c r="R363" s="20" t="s">
        <v>88</v>
      </c>
      <c r="S363" s="32" t="s">
        <v>32</v>
      </c>
      <c r="T363" s="20">
        <v>847379.02</v>
      </c>
      <c r="U363" s="20" t="s">
        <v>33</v>
      </c>
      <c r="V363" s="20" t="s">
        <v>89</v>
      </c>
      <c r="W363" s="20" t="s">
        <v>77</v>
      </c>
      <c r="X363" s="20" t="s">
        <v>90</v>
      </c>
      <c r="Y363" s="26">
        <v>64</v>
      </c>
      <c r="Z363" s="26">
        <v>25.97334</v>
      </c>
      <c r="AA363" s="27">
        <v>1</v>
      </c>
      <c r="AB363" s="33">
        <v>1</v>
      </c>
      <c r="AC363" s="20">
        <v>1</v>
      </c>
      <c r="AD363" s="28">
        <v>26</v>
      </c>
    </row>
    <row r="364" spans="1:30" ht="14.55" customHeight="1" x14ac:dyDescent="0.4">
      <c r="A364" s="20">
        <v>0</v>
      </c>
      <c r="B364" s="20">
        <v>11</v>
      </c>
      <c r="C364" s="30">
        <v>57</v>
      </c>
      <c r="D364" s="20" t="s">
        <v>38</v>
      </c>
      <c r="E364" s="20">
        <v>0</v>
      </c>
      <c r="F364" s="20">
        <v>0</v>
      </c>
      <c r="G364" s="20">
        <v>0</v>
      </c>
      <c r="H364" s="20">
        <v>1</v>
      </c>
      <c r="I364" s="20">
        <v>0</v>
      </c>
      <c r="J364" s="20">
        <v>1</v>
      </c>
      <c r="K364" s="20">
        <v>0</v>
      </c>
      <c r="L364" s="20">
        <v>0</v>
      </c>
      <c r="M364" s="20">
        <v>0</v>
      </c>
      <c r="N364" s="31">
        <v>44063</v>
      </c>
      <c r="O364" s="31">
        <v>44070</v>
      </c>
      <c r="P364" s="24">
        <f t="shared" si="5"/>
        <v>8</v>
      </c>
      <c r="Q364" s="32" t="s">
        <v>31</v>
      </c>
      <c r="R364" s="32" t="s">
        <v>31</v>
      </c>
      <c r="S364" s="32" t="s">
        <v>32</v>
      </c>
      <c r="T364" s="20">
        <v>6791.16</v>
      </c>
      <c r="U364" s="20" t="s">
        <v>33</v>
      </c>
      <c r="V364" s="20" t="s">
        <v>91</v>
      </c>
      <c r="W364" s="20" t="s">
        <v>34</v>
      </c>
      <c r="X364" s="20" t="s">
        <v>92</v>
      </c>
      <c r="Y364" s="26">
        <v>239</v>
      </c>
      <c r="Z364" s="26">
        <v>24.137029551900898</v>
      </c>
      <c r="AA364" s="27" t="s">
        <v>34</v>
      </c>
      <c r="AB364" s="33">
        <v>1</v>
      </c>
      <c r="AC364" s="20">
        <v>1</v>
      </c>
      <c r="AD364" s="28">
        <v>6</v>
      </c>
    </row>
    <row r="365" spans="1:30" ht="14.55" customHeight="1" x14ac:dyDescent="0.4">
      <c r="A365" s="20">
        <v>0</v>
      </c>
      <c r="B365" s="20">
        <v>12</v>
      </c>
      <c r="C365" s="30">
        <v>57</v>
      </c>
      <c r="D365" s="20" t="s">
        <v>38</v>
      </c>
      <c r="E365" s="20">
        <v>1</v>
      </c>
      <c r="F365" s="20">
        <v>0</v>
      </c>
      <c r="G365" s="20">
        <v>1</v>
      </c>
      <c r="H365" s="20">
        <v>1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31">
        <v>44061</v>
      </c>
      <c r="O365" s="31">
        <v>44072</v>
      </c>
      <c r="P365" s="24">
        <f t="shared" si="5"/>
        <v>12</v>
      </c>
      <c r="Q365" s="32" t="s">
        <v>31</v>
      </c>
      <c r="R365" s="32" t="s">
        <v>31</v>
      </c>
      <c r="S365" s="32" t="s">
        <v>32</v>
      </c>
      <c r="T365" s="20">
        <v>15548.82</v>
      </c>
      <c r="U365" s="20" t="s">
        <v>36</v>
      </c>
      <c r="V365" s="20" t="s">
        <v>93</v>
      </c>
      <c r="W365" s="20" t="s">
        <v>94</v>
      </c>
      <c r="X365" s="20" t="s">
        <v>95</v>
      </c>
      <c r="Y365" s="26">
        <v>45</v>
      </c>
      <c r="Z365" s="26">
        <v>27.996970000000001</v>
      </c>
      <c r="AA365" s="27">
        <v>0</v>
      </c>
      <c r="AB365" s="33">
        <v>1</v>
      </c>
      <c r="AC365" s="20">
        <v>1</v>
      </c>
      <c r="AD365" s="28">
        <v>8</v>
      </c>
    </row>
    <row r="366" spans="1:30" ht="14.55" customHeight="1" x14ac:dyDescent="0.4">
      <c r="A366" s="20">
        <v>0</v>
      </c>
      <c r="B366" s="20">
        <v>13</v>
      </c>
      <c r="C366" s="30">
        <v>58</v>
      </c>
      <c r="D366" s="20" t="s">
        <v>38</v>
      </c>
      <c r="E366" s="20">
        <v>0</v>
      </c>
      <c r="F366" s="20">
        <v>1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31">
        <v>44063</v>
      </c>
      <c r="O366" s="31">
        <v>44078</v>
      </c>
      <c r="P366" s="24">
        <f t="shared" si="5"/>
        <v>16</v>
      </c>
      <c r="Q366" s="32" t="s">
        <v>31</v>
      </c>
      <c r="R366" s="32" t="s">
        <v>31</v>
      </c>
      <c r="S366" s="32" t="s">
        <v>32</v>
      </c>
      <c r="T366" s="20">
        <v>18958.45</v>
      </c>
      <c r="U366" s="20" t="s">
        <v>40</v>
      </c>
      <c r="V366" s="20" t="s">
        <v>96</v>
      </c>
      <c r="W366" s="20" t="s">
        <v>34</v>
      </c>
      <c r="X366" s="20" t="s">
        <v>97</v>
      </c>
      <c r="Y366" s="26">
        <v>47</v>
      </c>
      <c r="Z366" s="26">
        <v>24.232774995267398</v>
      </c>
      <c r="AA366" s="27" t="s">
        <v>34</v>
      </c>
      <c r="AB366" s="33">
        <v>0</v>
      </c>
      <c r="AC366" s="20" t="s">
        <v>31</v>
      </c>
      <c r="AD366" s="28">
        <v>12</v>
      </c>
    </row>
    <row r="367" spans="1:30" ht="14.55" customHeight="1" x14ac:dyDescent="0.4">
      <c r="A367" s="20">
        <v>0</v>
      </c>
      <c r="B367" s="20">
        <v>14</v>
      </c>
      <c r="C367" s="30">
        <v>58</v>
      </c>
      <c r="D367" s="20" t="s">
        <v>38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31">
        <v>44071</v>
      </c>
      <c r="O367" s="31">
        <v>44089</v>
      </c>
      <c r="P367" s="24">
        <f t="shared" si="5"/>
        <v>19</v>
      </c>
      <c r="Q367" s="32" t="s">
        <v>31</v>
      </c>
      <c r="R367" s="32" t="s">
        <v>31</v>
      </c>
      <c r="S367" s="32" t="s">
        <v>32</v>
      </c>
      <c r="T367" s="20">
        <v>52977.84</v>
      </c>
      <c r="U367" s="20" t="s">
        <v>40</v>
      </c>
      <c r="V367" s="20" t="s">
        <v>98</v>
      </c>
      <c r="W367" s="20" t="s">
        <v>99</v>
      </c>
      <c r="X367" s="20" t="s">
        <v>100</v>
      </c>
      <c r="Y367" s="26">
        <v>48</v>
      </c>
      <c r="Z367" s="26">
        <v>25.81991</v>
      </c>
      <c r="AA367" s="27">
        <v>1</v>
      </c>
      <c r="AB367" s="33">
        <v>0</v>
      </c>
      <c r="AC367" s="20" t="s">
        <v>31</v>
      </c>
      <c r="AD367" s="28">
        <v>5</v>
      </c>
    </row>
    <row r="368" spans="1:30" ht="14.55" customHeight="1" x14ac:dyDescent="0.4">
      <c r="A368" s="20">
        <v>0</v>
      </c>
      <c r="B368" s="20">
        <v>15</v>
      </c>
      <c r="C368" s="30">
        <v>64</v>
      </c>
      <c r="D368" s="20" t="s">
        <v>38</v>
      </c>
      <c r="E368" s="20">
        <v>0</v>
      </c>
      <c r="F368" s="20">
        <v>0</v>
      </c>
      <c r="G368" s="20">
        <v>1</v>
      </c>
      <c r="H368" s="20">
        <v>0</v>
      </c>
      <c r="I368" s="20">
        <v>0</v>
      </c>
      <c r="J368" s="20">
        <v>1</v>
      </c>
      <c r="K368" s="20">
        <v>0</v>
      </c>
      <c r="L368" s="20">
        <v>0</v>
      </c>
      <c r="M368" s="20">
        <v>0</v>
      </c>
      <c r="N368" s="31">
        <v>44076</v>
      </c>
      <c r="O368" s="31">
        <v>44088</v>
      </c>
      <c r="P368" s="24">
        <f t="shared" si="5"/>
        <v>13</v>
      </c>
      <c r="Q368" s="32" t="s">
        <v>31</v>
      </c>
      <c r="R368" s="32" t="s">
        <v>31</v>
      </c>
      <c r="S368" s="32" t="s">
        <v>32</v>
      </c>
      <c r="T368" s="20">
        <v>13928.49</v>
      </c>
      <c r="U368" s="20" t="s">
        <v>36</v>
      </c>
      <c r="V368" s="20" t="s">
        <v>101</v>
      </c>
      <c r="W368" s="20" t="s">
        <v>102</v>
      </c>
      <c r="X368" s="20" t="s">
        <v>103</v>
      </c>
      <c r="Y368" s="26">
        <v>48</v>
      </c>
      <c r="Z368" s="26">
        <v>26.488669999999999</v>
      </c>
      <c r="AA368" s="27">
        <v>1</v>
      </c>
      <c r="AB368" s="33">
        <v>1</v>
      </c>
      <c r="AC368" s="20">
        <v>1</v>
      </c>
      <c r="AD368" s="28">
        <v>7</v>
      </c>
    </row>
    <row r="369" spans="1:30" ht="14.55" customHeight="1" x14ac:dyDescent="0.4">
      <c r="A369" s="20">
        <v>0</v>
      </c>
      <c r="B369" s="34">
        <v>16</v>
      </c>
      <c r="C369" s="30">
        <v>67</v>
      </c>
      <c r="D369" s="20" t="s">
        <v>30</v>
      </c>
      <c r="E369" s="20">
        <v>0</v>
      </c>
      <c r="F369" s="20">
        <v>1</v>
      </c>
      <c r="G369" s="20">
        <v>1</v>
      </c>
      <c r="H369" s="20">
        <v>1</v>
      </c>
      <c r="I369" s="20">
        <v>0</v>
      </c>
      <c r="J369" s="20">
        <v>0</v>
      </c>
      <c r="K369" s="20">
        <v>0</v>
      </c>
      <c r="L369" s="20">
        <v>1</v>
      </c>
      <c r="M369" s="20">
        <v>0</v>
      </c>
      <c r="N369" s="31">
        <v>44079</v>
      </c>
      <c r="O369" s="31">
        <v>44092</v>
      </c>
      <c r="P369" s="24">
        <f t="shared" si="5"/>
        <v>14</v>
      </c>
      <c r="Q369" s="32" t="s">
        <v>31</v>
      </c>
      <c r="R369" s="32" t="s">
        <v>31</v>
      </c>
      <c r="S369" s="32" t="s">
        <v>32</v>
      </c>
      <c r="T369" s="20">
        <v>9475.2900000000009</v>
      </c>
      <c r="U369" s="20" t="s">
        <v>69</v>
      </c>
      <c r="V369" s="20" t="s">
        <v>104</v>
      </c>
      <c r="W369" s="20" t="s">
        <v>34</v>
      </c>
      <c r="X369" s="20" t="s">
        <v>105</v>
      </c>
      <c r="Y369" s="26">
        <v>51</v>
      </c>
      <c r="Z369" s="26">
        <v>25.378399120643699</v>
      </c>
      <c r="AA369" s="27" t="s">
        <v>34</v>
      </c>
      <c r="AB369" s="33">
        <v>0</v>
      </c>
      <c r="AC369" s="20" t="s">
        <v>31</v>
      </c>
      <c r="AD369" s="28">
        <v>7</v>
      </c>
    </row>
    <row r="370" spans="1:30" ht="14.55" customHeight="1" x14ac:dyDescent="0.4">
      <c r="A370" s="20">
        <v>0</v>
      </c>
      <c r="B370" s="20">
        <v>17</v>
      </c>
      <c r="C370" s="30">
        <v>67</v>
      </c>
      <c r="D370" s="20" t="s">
        <v>30</v>
      </c>
      <c r="E370" s="20">
        <v>0</v>
      </c>
      <c r="F370" s="20">
        <v>1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31">
        <v>44082</v>
      </c>
      <c r="O370" s="31">
        <v>44095</v>
      </c>
      <c r="P370" s="24">
        <f t="shared" si="5"/>
        <v>14</v>
      </c>
      <c r="Q370" s="32" t="s">
        <v>31</v>
      </c>
      <c r="R370" s="32" t="s">
        <v>31</v>
      </c>
      <c r="S370" s="32" t="s">
        <v>32</v>
      </c>
      <c r="T370" s="20">
        <v>13113.67</v>
      </c>
      <c r="U370" s="20" t="s">
        <v>36</v>
      </c>
      <c r="V370" s="20" t="s">
        <v>106</v>
      </c>
      <c r="W370" s="20" t="s">
        <v>102</v>
      </c>
      <c r="X370" s="20" t="s">
        <v>107</v>
      </c>
      <c r="Y370" s="26">
        <v>70</v>
      </c>
      <c r="Z370" s="26">
        <v>25.296399999999998</v>
      </c>
      <c r="AA370" s="27">
        <v>1</v>
      </c>
      <c r="AB370" s="33">
        <v>1</v>
      </c>
      <c r="AC370" s="20">
        <v>1</v>
      </c>
      <c r="AD370" s="28">
        <v>7</v>
      </c>
    </row>
    <row r="371" spans="1:30" ht="14.55" customHeight="1" x14ac:dyDescent="0.4">
      <c r="A371" s="20">
        <v>0</v>
      </c>
      <c r="B371" s="20">
        <v>18</v>
      </c>
      <c r="C371" s="30">
        <v>61</v>
      </c>
      <c r="D371" s="20" t="s">
        <v>30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31">
        <v>44083</v>
      </c>
      <c r="O371" s="31">
        <v>44092</v>
      </c>
      <c r="P371" s="24">
        <f t="shared" si="5"/>
        <v>10</v>
      </c>
      <c r="Q371" s="32" t="s">
        <v>31</v>
      </c>
      <c r="R371" s="32" t="s">
        <v>31</v>
      </c>
      <c r="S371" s="32" t="s">
        <v>32</v>
      </c>
      <c r="T371" s="20">
        <v>12189.69</v>
      </c>
      <c r="U371" s="20" t="s">
        <v>36</v>
      </c>
      <c r="V371" s="20" t="s">
        <v>108</v>
      </c>
      <c r="W371" s="20" t="s">
        <v>34</v>
      </c>
      <c r="X371" s="20" t="s">
        <v>109</v>
      </c>
      <c r="Y371" s="26">
        <v>44</v>
      </c>
      <c r="Z371" s="26">
        <v>26.849113409407401</v>
      </c>
      <c r="AA371" s="27" t="s">
        <v>34</v>
      </c>
      <c r="AB371" s="33">
        <v>1</v>
      </c>
      <c r="AC371" s="20">
        <v>2</v>
      </c>
      <c r="AD371" s="28">
        <v>8</v>
      </c>
    </row>
    <row r="372" spans="1:30" ht="14.55" customHeight="1" x14ac:dyDescent="0.4">
      <c r="A372" s="20">
        <v>0</v>
      </c>
      <c r="B372" s="20">
        <v>19</v>
      </c>
      <c r="C372" s="30">
        <v>55</v>
      </c>
      <c r="D372" s="20" t="s">
        <v>38</v>
      </c>
      <c r="E372" s="20">
        <v>0</v>
      </c>
      <c r="F372" s="20">
        <v>1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31">
        <v>44090</v>
      </c>
      <c r="O372" s="31">
        <v>44097</v>
      </c>
      <c r="P372" s="24">
        <f t="shared" si="5"/>
        <v>8</v>
      </c>
      <c r="Q372" s="32" t="s">
        <v>31</v>
      </c>
      <c r="R372" s="32" t="s">
        <v>31</v>
      </c>
      <c r="S372" s="32" t="s">
        <v>32</v>
      </c>
      <c r="T372" s="20">
        <v>8946.77</v>
      </c>
      <c r="U372" s="20" t="s">
        <v>40</v>
      </c>
      <c r="V372" s="20" t="s">
        <v>110</v>
      </c>
      <c r="W372" s="20" t="s">
        <v>34</v>
      </c>
      <c r="X372" s="20" t="s">
        <v>111</v>
      </c>
      <c r="Y372" s="26">
        <v>46</v>
      </c>
      <c r="Z372" s="26">
        <v>26.788395267911302</v>
      </c>
      <c r="AA372" s="27" t="s">
        <v>34</v>
      </c>
      <c r="AB372" s="33">
        <v>0</v>
      </c>
      <c r="AC372" s="20" t="s">
        <v>31</v>
      </c>
      <c r="AD372" s="28">
        <v>6</v>
      </c>
    </row>
    <row r="373" spans="1:30" ht="14.55" customHeight="1" x14ac:dyDescent="0.4">
      <c r="A373" s="20">
        <v>0</v>
      </c>
      <c r="B373" s="20">
        <v>20</v>
      </c>
      <c r="C373" s="30">
        <v>56</v>
      </c>
      <c r="D373" s="20" t="s">
        <v>30</v>
      </c>
      <c r="E373" s="20">
        <v>0</v>
      </c>
      <c r="F373" s="20">
        <v>1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31">
        <v>44090</v>
      </c>
      <c r="O373" s="31">
        <v>44099</v>
      </c>
      <c r="P373" s="24">
        <f t="shared" si="5"/>
        <v>10</v>
      </c>
      <c r="Q373" s="32" t="s">
        <v>31</v>
      </c>
      <c r="R373" s="32" t="s">
        <v>31</v>
      </c>
      <c r="S373" s="32" t="s">
        <v>32</v>
      </c>
      <c r="T373" s="20">
        <v>10802.65</v>
      </c>
      <c r="U373" s="20" t="s">
        <v>33</v>
      </c>
      <c r="V373" s="20" t="s">
        <v>112</v>
      </c>
      <c r="W373" s="20" t="s">
        <v>34</v>
      </c>
      <c r="X373" s="20" t="s">
        <v>113</v>
      </c>
      <c r="Y373" s="26">
        <v>47</v>
      </c>
      <c r="Z373" s="26">
        <v>24.921322068199501</v>
      </c>
      <c r="AA373" s="27" t="s">
        <v>34</v>
      </c>
      <c r="AB373" s="33">
        <v>0</v>
      </c>
      <c r="AC373" s="20" t="s">
        <v>31</v>
      </c>
      <c r="AD373" s="28">
        <v>8</v>
      </c>
    </row>
    <row r="374" spans="1:30" ht="14.55" customHeight="1" x14ac:dyDescent="0.4">
      <c r="A374" s="20">
        <v>0</v>
      </c>
      <c r="B374" s="20">
        <v>21</v>
      </c>
      <c r="C374" s="30">
        <v>69</v>
      </c>
      <c r="D374" s="20" t="s">
        <v>38</v>
      </c>
      <c r="E374" s="20">
        <v>0</v>
      </c>
      <c r="F374" s="20">
        <v>1</v>
      </c>
      <c r="G374" s="20">
        <v>1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31">
        <v>44101</v>
      </c>
      <c r="O374" s="31">
        <v>44114</v>
      </c>
      <c r="P374" s="24">
        <f t="shared" si="5"/>
        <v>14</v>
      </c>
      <c r="Q374" s="32" t="s">
        <v>31</v>
      </c>
      <c r="R374" s="32" t="s">
        <v>31</v>
      </c>
      <c r="S374" s="32" t="s">
        <v>32</v>
      </c>
      <c r="T374" s="26">
        <v>12147.7</v>
      </c>
      <c r="U374" s="20" t="s">
        <v>40</v>
      </c>
      <c r="V374" s="20" t="s">
        <v>114</v>
      </c>
      <c r="W374" s="20" t="s">
        <v>34</v>
      </c>
      <c r="X374" s="20" t="s">
        <v>115</v>
      </c>
      <c r="Y374" s="26">
        <v>43</v>
      </c>
      <c r="Z374" s="26">
        <v>26.3714621523395</v>
      </c>
      <c r="AA374" s="27" t="s">
        <v>34</v>
      </c>
      <c r="AB374" s="33">
        <v>1</v>
      </c>
      <c r="AC374" s="20">
        <v>1</v>
      </c>
      <c r="AD374" s="28">
        <v>3</v>
      </c>
    </row>
    <row r="375" spans="1:30" ht="14.55" customHeight="1" x14ac:dyDescent="0.4">
      <c r="A375" s="20">
        <v>0</v>
      </c>
      <c r="B375" s="20">
        <v>22</v>
      </c>
      <c r="C375" s="30">
        <v>59</v>
      </c>
      <c r="D375" s="20" t="s">
        <v>38</v>
      </c>
      <c r="E375" s="20">
        <v>1</v>
      </c>
      <c r="F375" s="20">
        <v>1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31">
        <v>44104</v>
      </c>
      <c r="O375" s="31">
        <v>44119</v>
      </c>
      <c r="P375" s="24">
        <f t="shared" si="5"/>
        <v>16</v>
      </c>
      <c r="Q375" s="32" t="s">
        <v>31</v>
      </c>
      <c r="R375" s="32" t="s">
        <v>31</v>
      </c>
      <c r="S375" s="32" t="s">
        <v>32</v>
      </c>
      <c r="T375" s="20">
        <v>17540.27</v>
      </c>
      <c r="U375" s="20" t="s">
        <v>69</v>
      </c>
      <c r="V375" s="20" t="s">
        <v>116</v>
      </c>
      <c r="W375" s="20" t="s">
        <v>34</v>
      </c>
      <c r="X375" s="20" t="s">
        <v>117</v>
      </c>
      <c r="Y375" s="26">
        <v>48</v>
      </c>
      <c r="Z375" s="26">
        <v>24.2705391049385</v>
      </c>
      <c r="AA375" s="27" t="s">
        <v>34</v>
      </c>
      <c r="AB375" s="33">
        <v>1</v>
      </c>
      <c r="AC375" s="20">
        <v>1</v>
      </c>
      <c r="AD375" s="28">
        <v>7</v>
      </c>
    </row>
    <row r="376" spans="1:30" ht="14.55" customHeight="1" x14ac:dyDescent="0.4">
      <c r="A376" s="20">
        <v>0</v>
      </c>
      <c r="B376" s="20">
        <v>23</v>
      </c>
      <c r="C376" s="30">
        <v>64</v>
      </c>
      <c r="D376" s="20" t="s">
        <v>38</v>
      </c>
      <c r="E376" s="20">
        <v>0</v>
      </c>
      <c r="F376" s="20">
        <v>1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31">
        <v>44107</v>
      </c>
      <c r="O376" s="31">
        <v>44111</v>
      </c>
      <c r="P376" s="24">
        <f t="shared" si="5"/>
        <v>5</v>
      </c>
      <c r="Q376" s="32" t="s">
        <v>31</v>
      </c>
      <c r="R376" s="32" t="s">
        <v>31</v>
      </c>
      <c r="S376" s="32" t="s">
        <v>32</v>
      </c>
      <c r="T376" s="20">
        <v>7467.67</v>
      </c>
      <c r="U376" s="20" t="s">
        <v>36</v>
      </c>
      <c r="V376" s="20" t="s">
        <v>118</v>
      </c>
      <c r="W376" s="20" t="s">
        <v>34</v>
      </c>
      <c r="X376" s="20" t="s">
        <v>119</v>
      </c>
      <c r="Y376" s="26">
        <v>47</v>
      </c>
      <c r="Z376" s="26">
        <v>26.991201350465399</v>
      </c>
      <c r="AA376" s="27" t="s">
        <v>34</v>
      </c>
      <c r="AB376" s="33">
        <v>1</v>
      </c>
      <c r="AC376" s="20">
        <v>2</v>
      </c>
      <c r="AD376" s="28">
        <v>4</v>
      </c>
    </row>
    <row r="377" spans="1:30" ht="14.55" customHeight="1" x14ac:dyDescent="0.4">
      <c r="A377" s="20">
        <v>0</v>
      </c>
      <c r="B377" s="20">
        <v>24</v>
      </c>
      <c r="C377" s="30">
        <v>55</v>
      </c>
      <c r="D377" s="20" t="s">
        <v>38</v>
      </c>
      <c r="E377" s="20">
        <v>0</v>
      </c>
      <c r="F377" s="20">
        <v>1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31">
        <v>44112</v>
      </c>
      <c r="O377" s="31">
        <v>44120</v>
      </c>
      <c r="P377" s="24">
        <f t="shared" si="5"/>
        <v>9</v>
      </c>
      <c r="Q377" s="32" t="s">
        <v>31</v>
      </c>
      <c r="R377" s="32" t="s">
        <v>31</v>
      </c>
      <c r="S377" s="32" t="s">
        <v>32</v>
      </c>
      <c r="T377" s="20">
        <v>13145.87</v>
      </c>
      <c r="U377" s="20" t="s">
        <v>36</v>
      </c>
      <c r="V377" s="20" t="s">
        <v>120</v>
      </c>
      <c r="W377" s="20" t="s">
        <v>94</v>
      </c>
      <c r="X377" s="20" t="s">
        <v>121</v>
      </c>
      <c r="Y377" s="26">
        <v>47</v>
      </c>
      <c r="Z377" s="26">
        <v>26.17821</v>
      </c>
      <c r="AA377" s="27">
        <v>0</v>
      </c>
      <c r="AB377" s="33">
        <v>0</v>
      </c>
      <c r="AC377" s="20" t="s">
        <v>31</v>
      </c>
      <c r="AD377" s="28">
        <v>6</v>
      </c>
    </row>
    <row r="378" spans="1:30" ht="14.55" customHeight="1" x14ac:dyDescent="0.4">
      <c r="A378" s="20">
        <v>0</v>
      </c>
      <c r="B378" s="20">
        <v>25</v>
      </c>
      <c r="C378" s="30">
        <v>64</v>
      </c>
      <c r="D378" s="20" t="s">
        <v>38</v>
      </c>
      <c r="E378" s="20">
        <v>0</v>
      </c>
      <c r="F378" s="20">
        <v>1</v>
      </c>
      <c r="G378" s="20">
        <v>0</v>
      </c>
      <c r="H378" s="20">
        <v>1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31">
        <v>44115</v>
      </c>
      <c r="O378" s="31">
        <v>44120</v>
      </c>
      <c r="P378" s="24">
        <f t="shared" si="5"/>
        <v>6</v>
      </c>
      <c r="Q378" s="32" t="s">
        <v>31</v>
      </c>
      <c r="R378" s="32" t="s">
        <v>31</v>
      </c>
      <c r="S378" s="32" t="s">
        <v>32</v>
      </c>
      <c r="T378" s="20">
        <v>5409.49</v>
      </c>
      <c r="U378" s="20" t="s">
        <v>36</v>
      </c>
      <c r="V378" s="20" t="s">
        <v>122</v>
      </c>
      <c r="W378" s="20" t="s">
        <v>34</v>
      </c>
      <c r="X378" s="20" t="s">
        <v>123</v>
      </c>
      <c r="Y378" s="26">
        <v>265</v>
      </c>
      <c r="Z378" s="26">
        <v>27.980918828398</v>
      </c>
      <c r="AA378" s="27" t="s">
        <v>34</v>
      </c>
      <c r="AB378" s="33">
        <v>0</v>
      </c>
      <c r="AC378" s="20" t="s">
        <v>31</v>
      </c>
      <c r="AD378" s="28">
        <v>5</v>
      </c>
    </row>
    <row r="379" spans="1:30" ht="14.55" customHeight="1" x14ac:dyDescent="0.4">
      <c r="A379" s="20">
        <v>0</v>
      </c>
      <c r="B379" s="20">
        <v>26</v>
      </c>
      <c r="C379" s="30">
        <v>57</v>
      </c>
      <c r="D379" s="20" t="s">
        <v>38</v>
      </c>
      <c r="E379" s="20">
        <v>0</v>
      </c>
      <c r="F379" s="20">
        <v>1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31">
        <v>44116</v>
      </c>
      <c r="O379" s="31">
        <v>44120</v>
      </c>
      <c r="P379" s="24">
        <f t="shared" si="5"/>
        <v>5</v>
      </c>
      <c r="Q379" s="32" t="s">
        <v>31</v>
      </c>
      <c r="R379" s="32" t="s">
        <v>31</v>
      </c>
      <c r="S379" s="32" t="s">
        <v>32</v>
      </c>
      <c r="T379" s="20">
        <v>6151.47</v>
      </c>
      <c r="U379" s="20" t="s">
        <v>36</v>
      </c>
      <c r="V379" s="20" t="s">
        <v>124</v>
      </c>
      <c r="W379" s="20" t="s">
        <v>34</v>
      </c>
      <c r="X379" s="20" t="s">
        <v>125</v>
      </c>
      <c r="Y379" s="26">
        <v>264</v>
      </c>
      <c r="Z379" s="26">
        <v>27.7131188670173</v>
      </c>
      <c r="AA379" s="27" t="s">
        <v>34</v>
      </c>
      <c r="AB379" s="33">
        <v>1</v>
      </c>
      <c r="AC379" s="20">
        <v>2</v>
      </c>
      <c r="AD379" s="28">
        <v>4</v>
      </c>
    </row>
    <row r="380" spans="1:30" ht="14.55" customHeight="1" x14ac:dyDescent="0.4">
      <c r="A380" s="20">
        <v>0</v>
      </c>
      <c r="B380" s="20">
        <v>27</v>
      </c>
      <c r="C380" s="30">
        <v>58</v>
      </c>
      <c r="D380" s="20" t="s">
        <v>30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31">
        <v>44128</v>
      </c>
      <c r="O380" s="31">
        <v>44140</v>
      </c>
      <c r="P380" s="24">
        <f t="shared" si="5"/>
        <v>13</v>
      </c>
      <c r="Q380" s="32" t="s">
        <v>31</v>
      </c>
      <c r="R380" s="32" t="s">
        <v>31</v>
      </c>
      <c r="S380" s="32" t="s">
        <v>32</v>
      </c>
      <c r="T380" s="20">
        <v>13595.81</v>
      </c>
      <c r="U380" s="20" t="s">
        <v>69</v>
      </c>
      <c r="V380" s="20" t="s">
        <v>126</v>
      </c>
      <c r="W380" s="20" t="s">
        <v>34</v>
      </c>
      <c r="X380" s="20" t="s">
        <v>127</v>
      </c>
      <c r="Y380" s="26">
        <v>48</v>
      </c>
      <c r="Z380" s="26">
        <v>27.068428523838499</v>
      </c>
      <c r="AA380" s="27" t="s">
        <v>34</v>
      </c>
      <c r="AB380" s="33">
        <v>1</v>
      </c>
      <c r="AC380" s="20">
        <v>1</v>
      </c>
      <c r="AD380" s="28">
        <v>4</v>
      </c>
    </row>
    <row r="381" spans="1:30" ht="14.55" customHeight="1" x14ac:dyDescent="0.4">
      <c r="A381" s="20">
        <v>0</v>
      </c>
      <c r="B381" s="20">
        <v>28</v>
      </c>
      <c r="C381" s="30">
        <v>62</v>
      </c>
      <c r="D381" s="20" t="s">
        <v>38</v>
      </c>
      <c r="E381" s="20">
        <v>0</v>
      </c>
      <c r="F381" s="20">
        <v>1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31">
        <v>44136</v>
      </c>
      <c r="O381" s="31">
        <v>44158</v>
      </c>
      <c r="P381" s="24">
        <f t="shared" si="5"/>
        <v>23</v>
      </c>
      <c r="Q381" s="32" t="s">
        <v>31</v>
      </c>
      <c r="R381" s="32" t="s">
        <v>31</v>
      </c>
      <c r="S381" s="32" t="s">
        <v>32</v>
      </c>
      <c r="T381" s="20">
        <v>33023.07</v>
      </c>
      <c r="U381" s="20" t="s">
        <v>36</v>
      </c>
      <c r="V381" s="20" t="s">
        <v>128</v>
      </c>
      <c r="W381" s="20" t="s">
        <v>34</v>
      </c>
      <c r="X381" s="20" t="s">
        <v>129</v>
      </c>
      <c r="Y381" s="26">
        <v>47</v>
      </c>
      <c r="Z381" s="26">
        <v>25.329293596558301</v>
      </c>
      <c r="AA381" s="27" t="s">
        <v>34</v>
      </c>
      <c r="AB381" s="33">
        <v>0</v>
      </c>
      <c r="AC381" s="20" t="s">
        <v>31</v>
      </c>
      <c r="AD381" s="28">
        <v>4</v>
      </c>
    </row>
    <row r="382" spans="1:30" ht="14.55" customHeight="1" x14ac:dyDescent="0.4">
      <c r="A382" s="20">
        <v>0</v>
      </c>
      <c r="B382" s="20">
        <v>29</v>
      </c>
      <c r="C382" s="30">
        <v>68</v>
      </c>
      <c r="D382" s="20" t="s">
        <v>38</v>
      </c>
      <c r="E382" s="20">
        <v>0</v>
      </c>
      <c r="F382" s="20">
        <v>1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31">
        <v>44138</v>
      </c>
      <c r="O382" s="31">
        <v>44145</v>
      </c>
      <c r="P382" s="24">
        <f t="shared" si="5"/>
        <v>8</v>
      </c>
      <c r="Q382" s="32" t="s">
        <v>31</v>
      </c>
      <c r="R382" s="32" t="s">
        <v>31</v>
      </c>
      <c r="S382" s="32" t="s">
        <v>32</v>
      </c>
      <c r="T382" s="26">
        <v>9127.4</v>
      </c>
      <c r="U382" s="20" t="s">
        <v>36</v>
      </c>
      <c r="V382" s="20" t="s">
        <v>130</v>
      </c>
      <c r="W382" s="20" t="s">
        <v>34</v>
      </c>
      <c r="X382" s="20" t="s">
        <v>131</v>
      </c>
      <c r="Y382" s="26">
        <v>46</v>
      </c>
      <c r="Z382" s="26">
        <v>26.720407217740998</v>
      </c>
      <c r="AA382" s="27" t="s">
        <v>34</v>
      </c>
      <c r="AB382" s="33">
        <v>0</v>
      </c>
      <c r="AC382" s="20" t="s">
        <v>31</v>
      </c>
      <c r="AD382" s="28">
        <v>4</v>
      </c>
    </row>
    <row r="383" spans="1:30" ht="14.55" customHeight="1" x14ac:dyDescent="0.4">
      <c r="A383" s="20">
        <v>0</v>
      </c>
      <c r="B383" s="20">
        <v>31</v>
      </c>
      <c r="C383" s="30">
        <v>55</v>
      </c>
      <c r="D383" s="20" t="s">
        <v>38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31">
        <v>44145</v>
      </c>
      <c r="O383" s="31">
        <v>44149</v>
      </c>
      <c r="P383" s="24">
        <f t="shared" si="5"/>
        <v>5</v>
      </c>
      <c r="Q383" s="32" t="s">
        <v>31</v>
      </c>
      <c r="R383" s="32" t="s">
        <v>31</v>
      </c>
      <c r="S383" s="32" t="s">
        <v>32</v>
      </c>
      <c r="T383" s="20">
        <v>6662.23</v>
      </c>
      <c r="U383" s="20" t="s">
        <v>36</v>
      </c>
      <c r="V383" s="20" t="s">
        <v>132</v>
      </c>
      <c r="W383" s="20" t="s">
        <v>34</v>
      </c>
      <c r="X383" s="20" t="s">
        <v>133</v>
      </c>
      <c r="Y383" s="26">
        <v>49</v>
      </c>
      <c r="Z383" s="26">
        <v>27.385046269744599</v>
      </c>
      <c r="AA383" s="27" t="s">
        <v>34</v>
      </c>
      <c r="AB383" s="33">
        <v>1</v>
      </c>
      <c r="AC383" s="20">
        <v>1</v>
      </c>
      <c r="AD383" s="28">
        <v>4</v>
      </c>
    </row>
    <row r="384" spans="1:30" ht="14.55" customHeight="1" x14ac:dyDescent="0.4">
      <c r="A384" s="20">
        <v>0</v>
      </c>
      <c r="B384" s="20">
        <v>32</v>
      </c>
      <c r="C384" s="30">
        <v>57</v>
      </c>
      <c r="D384" s="20" t="s">
        <v>38</v>
      </c>
      <c r="E384" s="20">
        <v>0</v>
      </c>
      <c r="F384" s="20">
        <v>1</v>
      </c>
      <c r="G384" s="20">
        <v>0</v>
      </c>
      <c r="H384" s="20">
        <v>1</v>
      </c>
      <c r="I384" s="20">
        <v>0</v>
      </c>
      <c r="J384" s="20">
        <v>0</v>
      </c>
      <c r="K384" s="20">
        <v>0</v>
      </c>
      <c r="L384" s="20">
        <v>1</v>
      </c>
      <c r="M384" s="20">
        <v>0</v>
      </c>
      <c r="N384" s="31">
        <v>44145</v>
      </c>
      <c r="O384" s="31">
        <v>44151</v>
      </c>
      <c r="P384" s="24">
        <f t="shared" si="5"/>
        <v>7</v>
      </c>
      <c r="Q384" s="32" t="s">
        <v>31</v>
      </c>
      <c r="R384" s="32" t="s">
        <v>31</v>
      </c>
      <c r="S384" s="32" t="s">
        <v>32</v>
      </c>
      <c r="T384" s="20">
        <v>8654.09</v>
      </c>
      <c r="U384" s="20" t="s">
        <v>69</v>
      </c>
      <c r="V384" s="20" t="s">
        <v>134</v>
      </c>
      <c r="W384" s="20" t="s">
        <v>34</v>
      </c>
      <c r="X384" s="20" t="s">
        <v>34</v>
      </c>
      <c r="Y384" s="26">
        <v>50</v>
      </c>
      <c r="Z384" s="26">
        <v>24.4441821593791</v>
      </c>
      <c r="AA384" s="27" t="s">
        <v>34</v>
      </c>
      <c r="AB384" s="33" t="s">
        <v>34</v>
      </c>
      <c r="AC384" s="20" t="s">
        <v>31</v>
      </c>
      <c r="AD384" s="28">
        <v>4</v>
      </c>
    </row>
    <row r="385" spans="1:30" ht="14.55" customHeight="1" x14ac:dyDescent="0.4">
      <c r="A385" s="20">
        <v>0</v>
      </c>
      <c r="B385" s="34">
        <v>33</v>
      </c>
      <c r="C385" s="30">
        <v>62</v>
      </c>
      <c r="D385" s="20" t="s">
        <v>30</v>
      </c>
      <c r="E385" s="20">
        <v>1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31">
        <v>44147</v>
      </c>
      <c r="O385" s="31">
        <v>44158</v>
      </c>
      <c r="P385" s="24">
        <f t="shared" si="5"/>
        <v>12</v>
      </c>
      <c r="Q385" s="32" t="s">
        <v>31</v>
      </c>
      <c r="R385" s="32" t="s">
        <v>31</v>
      </c>
      <c r="S385" s="32" t="s">
        <v>32</v>
      </c>
      <c r="T385" s="20">
        <v>13191.57</v>
      </c>
      <c r="U385" s="20" t="s">
        <v>36</v>
      </c>
      <c r="V385" s="20" t="s">
        <v>135</v>
      </c>
      <c r="W385" s="20" t="s">
        <v>34</v>
      </c>
      <c r="X385" s="20" t="s">
        <v>136</v>
      </c>
      <c r="Y385" s="26">
        <v>44</v>
      </c>
      <c r="Z385" s="26">
        <v>24.3136717034504</v>
      </c>
      <c r="AA385" s="27" t="s">
        <v>34</v>
      </c>
      <c r="AB385" s="33">
        <v>1</v>
      </c>
      <c r="AC385" s="20">
        <v>1</v>
      </c>
      <c r="AD385" s="28">
        <v>7</v>
      </c>
    </row>
    <row r="386" spans="1:30" ht="14.55" customHeight="1" x14ac:dyDescent="0.4">
      <c r="A386" s="20">
        <v>0</v>
      </c>
      <c r="B386" s="20">
        <v>34</v>
      </c>
      <c r="C386" s="30">
        <v>64</v>
      </c>
      <c r="D386" s="20" t="s">
        <v>30</v>
      </c>
      <c r="E386" s="20">
        <v>0</v>
      </c>
      <c r="F386" s="20">
        <v>1</v>
      </c>
      <c r="G386" s="20">
        <v>0</v>
      </c>
      <c r="H386" s="20">
        <v>1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31">
        <v>44149</v>
      </c>
      <c r="O386" s="31">
        <v>44158</v>
      </c>
      <c r="P386" s="24">
        <f t="shared" si="5"/>
        <v>10</v>
      </c>
      <c r="Q386" s="32" t="s">
        <v>31</v>
      </c>
      <c r="R386" s="32" t="s">
        <v>31</v>
      </c>
      <c r="S386" s="32" t="s">
        <v>32</v>
      </c>
      <c r="T386" s="20">
        <v>10550.08</v>
      </c>
      <c r="U386" s="20" t="s">
        <v>36</v>
      </c>
      <c r="V386" s="20" t="s">
        <v>137</v>
      </c>
      <c r="W386" s="20" t="s">
        <v>34</v>
      </c>
      <c r="X386" s="20" t="s">
        <v>138</v>
      </c>
      <c r="Y386" s="26">
        <v>240</v>
      </c>
      <c r="Z386" s="26">
        <v>26.9585593985394</v>
      </c>
      <c r="AA386" s="27" t="s">
        <v>34</v>
      </c>
      <c r="AB386" s="33">
        <v>0</v>
      </c>
      <c r="AC386" s="20" t="s">
        <v>31</v>
      </c>
      <c r="AD386" s="28">
        <v>7</v>
      </c>
    </row>
    <row r="387" spans="1:30" ht="14.55" customHeight="1" x14ac:dyDescent="0.4">
      <c r="A387" s="20">
        <v>0</v>
      </c>
      <c r="B387" s="20">
        <v>35</v>
      </c>
      <c r="C387" s="30">
        <v>66</v>
      </c>
      <c r="D387" s="20" t="s">
        <v>30</v>
      </c>
      <c r="E387" s="20">
        <v>0</v>
      </c>
      <c r="F387" s="20">
        <v>0</v>
      </c>
      <c r="G387" s="20">
        <v>0</v>
      </c>
      <c r="H387" s="20">
        <v>1</v>
      </c>
      <c r="I387" s="20">
        <v>0</v>
      </c>
      <c r="J387" s="20">
        <v>0</v>
      </c>
      <c r="K387" s="20">
        <v>1</v>
      </c>
      <c r="L387" s="20">
        <v>0</v>
      </c>
      <c r="M387" s="20">
        <v>0</v>
      </c>
      <c r="N387" s="31">
        <v>44152</v>
      </c>
      <c r="O387" s="31">
        <v>44163</v>
      </c>
      <c r="P387" s="24">
        <f t="shared" ref="P387:P450" si="6">O387-N387+1</f>
        <v>12</v>
      </c>
      <c r="Q387" s="32" t="s">
        <v>31</v>
      </c>
      <c r="R387" s="32" t="s">
        <v>31</v>
      </c>
      <c r="S387" s="32" t="s">
        <v>32</v>
      </c>
      <c r="T387" s="20">
        <v>10129.16</v>
      </c>
      <c r="U387" s="20" t="s">
        <v>36</v>
      </c>
      <c r="V387" s="20" t="s">
        <v>139</v>
      </c>
      <c r="W387" s="20" t="s">
        <v>34</v>
      </c>
      <c r="X387" s="20" t="s">
        <v>140</v>
      </c>
      <c r="Y387" s="26">
        <v>240</v>
      </c>
      <c r="Z387" s="26">
        <v>24.610510000000001</v>
      </c>
      <c r="AA387" s="27" t="s">
        <v>34</v>
      </c>
      <c r="AB387" s="33">
        <v>1</v>
      </c>
      <c r="AC387" s="20">
        <v>3</v>
      </c>
      <c r="AD387" s="28">
        <v>8</v>
      </c>
    </row>
    <row r="388" spans="1:30" ht="14.55" customHeight="1" x14ac:dyDescent="0.4">
      <c r="A388" s="20">
        <v>0</v>
      </c>
      <c r="B388" s="20">
        <v>36</v>
      </c>
      <c r="C388" s="30">
        <v>67</v>
      </c>
      <c r="D388" s="20" t="s">
        <v>30</v>
      </c>
      <c r="E388" s="20">
        <v>0</v>
      </c>
      <c r="F388" s="20">
        <v>1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1</v>
      </c>
      <c r="M388" s="20">
        <v>0</v>
      </c>
      <c r="N388" s="31">
        <v>44155</v>
      </c>
      <c r="O388" s="31">
        <v>44173</v>
      </c>
      <c r="P388" s="24">
        <f t="shared" si="6"/>
        <v>19</v>
      </c>
      <c r="Q388" s="32" t="s">
        <v>31</v>
      </c>
      <c r="R388" s="32" t="s">
        <v>31</v>
      </c>
      <c r="S388" s="32" t="s">
        <v>32</v>
      </c>
      <c r="T388" s="20">
        <v>40978.589999999997</v>
      </c>
      <c r="U388" s="20" t="s">
        <v>36</v>
      </c>
      <c r="V388" s="20" t="s">
        <v>141</v>
      </c>
      <c r="W388" s="20" t="s">
        <v>94</v>
      </c>
      <c r="X388" s="20" t="s">
        <v>142</v>
      </c>
      <c r="Y388" s="26">
        <v>43</v>
      </c>
      <c r="Z388" s="26">
        <v>26.68384</v>
      </c>
      <c r="AA388" s="27">
        <v>0</v>
      </c>
      <c r="AB388" s="33">
        <v>0</v>
      </c>
      <c r="AC388" s="20" t="s">
        <v>31</v>
      </c>
      <c r="AD388" s="28">
        <v>6</v>
      </c>
    </row>
    <row r="389" spans="1:30" ht="14.55" customHeight="1" x14ac:dyDescent="0.4">
      <c r="A389" s="20">
        <v>0</v>
      </c>
      <c r="B389" s="20">
        <v>37</v>
      </c>
      <c r="C389" s="30">
        <v>66</v>
      </c>
      <c r="D389" s="20" t="s">
        <v>38</v>
      </c>
      <c r="E389" s="20">
        <v>1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31">
        <v>44148</v>
      </c>
      <c r="O389" s="31">
        <v>44200</v>
      </c>
      <c r="P389" s="24">
        <f t="shared" si="6"/>
        <v>53</v>
      </c>
      <c r="Q389" s="32" t="s">
        <v>31</v>
      </c>
      <c r="R389" s="32" t="s">
        <v>31</v>
      </c>
      <c r="S389" s="32" t="s">
        <v>143</v>
      </c>
      <c r="T389" s="20">
        <v>223150.18</v>
      </c>
      <c r="U389" s="20" t="s">
        <v>40</v>
      </c>
      <c r="V389" s="20" t="s">
        <v>144</v>
      </c>
      <c r="W389" s="20" t="s">
        <v>145</v>
      </c>
      <c r="X389" s="20" t="s">
        <v>146</v>
      </c>
      <c r="Y389" s="26">
        <v>71</v>
      </c>
      <c r="Z389" s="26">
        <v>24.872969999999999</v>
      </c>
      <c r="AA389" s="27">
        <v>1</v>
      </c>
      <c r="AB389" s="33">
        <v>1</v>
      </c>
      <c r="AC389" s="20">
        <v>1</v>
      </c>
      <c r="AD389" s="28">
        <v>14</v>
      </c>
    </row>
    <row r="390" spans="1:30" s="6" customFormat="1" ht="14.55" customHeight="1" x14ac:dyDescent="0.4">
      <c r="A390" s="20">
        <v>0</v>
      </c>
      <c r="B390" s="20">
        <v>38</v>
      </c>
      <c r="C390" s="30">
        <v>65</v>
      </c>
      <c r="D390" s="20" t="s">
        <v>30</v>
      </c>
      <c r="E390" s="20">
        <v>1</v>
      </c>
      <c r="F390" s="20">
        <v>1</v>
      </c>
      <c r="G390" s="20">
        <v>0</v>
      </c>
      <c r="H390" s="20">
        <v>1</v>
      </c>
      <c r="I390" s="20">
        <v>0</v>
      </c>
      <c r="J390" s="20">
        <v>0</v>
      </c>
      <c r="K390" s="20">
        <v>0</v>
      </c>
      <c r="L390" s="20">
        <v>0</v>
      </c>
      <c r="M390" s="20">
        <v>1</v>
      </c>
      <c r="N390" s="31">
        <v>44168</v>
      </c>
      <c r="O390" s="31">
        <v>44214</v>
      </c>
      <c r="P390" s="24">
        <f t="shared" si="6"/>
        <v>47</v>
      </c>
      <c r="Q390" s="32" t="s">
        <v>147</v>
      </c>
      <c r="R390" s="32" t="s">
        <v>148</v>
      </c>
      <c r="S390" s="32" t="s">
        <v>143</v>
      </c>
      <c r="T390" s="20">
        <v>214754.13</v>
      </c>
      <c r="U390" s="20" t="s">
        <v>36</v>
      </c>
      <c r="V390" s="20" t="s">
        <v>149</v>
      </c>
      <c r="W390" s="20" t="s">
        <v>34</v>
      </c>
      <c r="X390" s="20" t="s">
        <v>34</v>
      </c>
      <c r="Y390" s="26">
        <v>50</v>
      </c>
      <c r="Z390" s="26">
        <v>27.7812799289823</v>
      </c>
      <c r="AA390" s="27" t="s">
        <v>34</v>
      </c>
      <c r="AB390" s="33" t="s">
        <v>34</v>
      </c>
      <c r="AC390" s="20" t="s">
        <v>31</v>
      </c>
      <c r="AD390" s="28">
        <v>2</v>
      </c>
    </row>
    <row r="391" spans="1:30" ht="14.55" customHeight="1" x14ac:dyDescent="0.4">
      <c r="A391" s="20">
        <v>0</v>
      </c>
      <c r="B391" s="20">
        <v>39</v>
      </c>
      <c r="C391" s="30">
        <v>62</v>
      </c>
      <c r="D391" s="20" t="s">
        <v>38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31">
        <v>44168</v>
      </c>
      <c r="O391" s="31">
        <v>44176</v>
      </c>
      <c r="P391" s="24">
        <f t="shared" si="6"/>
        <v>9</v>
      </c>
      <c r="Q391" s="32" t="s">
        <v>31</v>
      </c>
      <c r="R391" s="32" t="s">
        <v>31</v>
      </c>
      <c r="S391" s="32" t="s">
        <v>32</v>
      </c>
      <c r="T391" s="20">
        <v>6371.04</v>
      </c>
      <c r="U391" s="20" t="s">
        <v>40</v>
      </c>
      <c r="V391" s="20" t="s">
        <v>150</v>
      </c>
      <c r="W391" s="20" t="s">
        <v>34</v>
      </c>
      <c r="X391" s="20" t="s">
        <v>151</v>
      </c>
      <c r="Y391" s="26">
        <v>40</v>
      </c>
      <c r="Z391" s="26">
        <v>25.664607629180001</v>
      </c>
      <c r="AA391" s="27" t="s">
        <v>34</v>
      </c>
      <c r="AB391" s="33">
        <v>1</v>
      </c>
      <c r="AC391" s="20">
        <v>1</v>
      </c>
      <c r="AD391" s="28">
        <v>5</v>
      </c>
    </row>
    <row r="392" spans="1:30" ht="14.55" customHeight="1" x14ac:dyDescent="0.4">
      <c r="A392" s="20">
        <v>0</v>
      </c>
      <c r="B392" s="20">
        <v>40</v>
      </c>
      <c r="C392" s="30">
        <v>58</v>
      </c>
      <c r="D392" s="20" t="s">
        <v>38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1</v>
      </c>
      <c r="K392" s="20">
        <v>0</v>
      </c>
      <c r="L392" s="20">
        <v>0</v>
      </c>
      <c r="M392" s="20">
        <v>0</v>
      </c>
      <c r="N392" s="31">
        <v>44161</v>
      </c>
      <c r="O392" s="31">
        <v>44180</v>
      </c>
      <c r="P392" s="24">
        <f t="shared" si="6"/>
        <v>20</v>
      </c>
      <c r="Q392" s="32" t="s">
        <v>31</v>
      </c>
      <c r="R392" s="32" t="s">
        <v>31</v>
      </c>
      <c r="S392" s="32" t="s">
        <v>32</v>
      </c>
      <c r="T392" s="20">
        <v>18871.98</v>
      </c>
      <c r="U392" s="20" t="s">
        <v>36</v>
      </c>
      <c r="V392" s="20" t="s">
        <v>152</v>
      </c>
      <c r="W392" s="20" t="s">
        <v>34</v>
      </c>
      <c r="X392" s="20" t="s">
        <v>153</v>
      </c>
      <c r="Y392" s="26">
        <v>46</v>
      </c>
      <c r="Z392" s="26">
        <v>24.302461400628101</v>
      </c>
      <c r="AA392" s="27" t="s">
        <v>34</v>
      </c>
      <c r="AB392" s="33">
        <v>1</v>
      </c>
      <c r="AC392" s="20">
        <v>1</v>
      </c>
      <c r="AD392" s="28">
        <v>13</v>
      </c>
    </row>
    <row r="393" spans="1:30" ht="14.55" customHeight="1" x14ac:dyDescent="0.4">
      <c r="A393" s="20">
        <v>0</v>
      </c>
      <c r="B393" s="20">
        <v>41</v>
      </c>
      <c r="C393" s="30">
        <v>63</v>
      </c>
      <c r="D393" s="20" t="s">
        <v>38</v>
      </c>
      <c r="E393" s="20">
        <v>0</v>
      </c>
      <c r="F393" s="20">
        <v>1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31">
        <v>44167</v>
      </c>
      <c r="O393" s="31">
        <v>44176</v>
      </c>
      <c r="P393" s="24">
        <f t="shared" si="6"/>
        <v>10</v>
      </c>
      <c r="Q393" s="32" t="s">
        <v>31</v>
      </c>
      <c r="R393" s="32" t="s">
        <v>31</v>
      </c>
      <c r="S393" s="32" t="s">
        <v>32</v>
      </c>
      <c r="T393" s="20">
        <v>11503.64</v>
      </c>
      <c r="U393" s="20" t="s">
        <v>36</v>
      </c>
      <c r="V393" s="20" t="s">
        <v>154</v>
      </c>
      <c r="W393" s="20" t="s">
        <v>34</v>
      </c>
      <c r="X393" s="20" t="s">
        <v>155</v>
      </c>
      <c r="Y393" s="26">
        <v>42</v>
      </c>
      <c r="Z393" s="26">
        <v>25.744747344404502</v>
      </c>
      <c r="AA393" s="27" t="s">
        <v>34</v>
      </c>
      <c r="AB393" s="33">
        <v>0</v>
      </c>
      <c r="AC393" s="20" t="s">
        <v>31</v>
      </c>
      <c r="AD393" s="28">
        <v>7</v>
      </c>
    </row>
    <row r="394" spans="1:30" ht="14.55" customHeight="1" x14ac:dyDescent="0.4">
      <c r="A394" s="20">
        <v>0</v>
      </c>
      <c r="B394" s="20">
        <v>42</v>
      </c>
      <c r="C394" s="30">
        <v>64</v>
      </c>
      <c r="D394" s="20" t="s">
        <v>38</v>
      </c>
      <c r="E394" s="20">
        <v>0</v>
      </c>
      <c r="F394" s="20">
        <v>1</v>
      </c>
      <c r="G394" s="20">
        <v>0</v>
      </c>
      <c r="H394" s="20">
        <v>0</v>
      </c>
      <c r="I394" s="20">
        <v>0</v>
      </c>
      <c r="J394" s="20">
        <v>1</v>
      </c>
      <c r="K394" s="20">
        <v>0</v>
      </c>
      <c r="L394" s="20">
        <v>0</v>
      </c>
      <c r="M394" s="20">
        <v>0</v>
      </c>
      <c r="N394" s="31">
        <v>44172</v>
      </c>
      <c r="O394" s="31">
        <v>44181</v>
      </c>
      <c r="P394" s="24">
        <f t="shared" si="6"/>
        <v>10</v>
      </c>
      <c r="Q394" s="32" t="s">
        <v>31</v>
      </c>
      <c r="R394" s="32" t="s">
        <v>31</v>
      </c>
      <c r="S394" s="32" t="s">
        <v>32</v>
      </c>
      <c r="T394" s="20">
        <v>13398.86</v>
      </c>
      <c r="U394" s="20" t="s">
        <v>36</v>
      </c>
      <c r="V394" s="20" t="s">
        <v>156</v>
      </c>
      <c r="W394" s="20" t="s">
        <v>94</v>
      </c>
      <c r="X394" s="20" t="s">
        <v>157</v>
      </c>
      <c r="Y394" s="26">
        <v>66</v>
      </c>
      <c r="Z394" s="26">
        <v>25.568650000000002</v>
      </c>
      <c r="AA394" s="27">
        <v>0</v>
      </c>
      <c r="AB394" s="33">
        <v>1</v>
      </c>
      <c r="AC394" s="20">
        <v>1</v>
      </c>
      <c r="AD394" s="28">
        <v>8</v>
      </c>
    </row>
    <row r="395" spans="1:30" ht="14.55" customHeight="1" x14ac:dyDescent="0.4">
      <c r="A395" s="20">
        <v>0</v>
      </c>
      <c r="B395" s="20">
        <v>43</v>
      </c>
      <c r="C395" s="30">
        <v>65</v>
      </c>
      <c r="D395" s="20" t="s">
        <v>30</v>
      </c>
      <c r="E395" s="20">
        <v>1</v>
      </c>
      <c r="F395" s="20">
        <v>0</v>
      </c>
      <c r="G395" s="20">
        <v>0</v>
      </c>
      <c r="H395" s="20">
        <v>1</v>
      </c>
      <c r="I395" s="20">
        <v>1</v>
      </c>
      <c r="J395" s="20">
        <v>0</v>
      </c>
      <c r="K395" s="20">
        <v>0</v>
      </c>
      <c r="L395" s="20">
        <v>0</v>
      </c>
      <c r="M395" s="20">
        <v>0</v>
      </c>
      <c r="N395" s="31">
        <v>44171</v>
      </c>
      <c r="O395" s="31">
        <v>44183</v>
      </c>
      <c r="P395" s="24">
        <f t="shared" si="6"/>
        <v>13</v>
      </c>
      <c r="Q395" s="32" t="s">
        <v>31</v>
      </c>
      <c r="R395" s="32" t="s">
        <v>31</v>
      </c>
      <c r="S395" s="32" t="s">
        <v>32</v>
      </c>
      <c r="T395" s="20">
        <v>15543.52</v>
      </c>
      <c r="U395" s="20" t="s">
        <v>40</v>
      </c>
      <c r="V395" s="20" t="s">
        <v>158</v>
      </c>
      <c r="W395" s="20" t="s">
        <v>34</v>
      </c>
      <c r="X395" s="20" t="s">
        <v>159</v>
      </c>
      <c r="Y395" s="26">
        <v>50</v>
      </c>
      <c r="Z395" s="26">
        <v>26.753939162939801</v>
      </c>
      <c r="AA395" s="27" t="s">
        <v>34</v>
      </c>
      <c r="AB395" s="33">
        <v>0</v>
      </c>
      <c r="AC395" s="20" t="s">
        <v>31</v>
      </c>
      <c r="AD395" s="28">
        <v>11</v>
      </c>
    </row>
    <row r="396" spans="1:30" ht="14.55" customHeight="1" x14ac:dyDescent="0.4">
      <c r="A396" s="20">
        <v>0</v>
      </c>
      <c r="B396" s="20">
        <v>44</v>
      </c>
      <c r="C396" s="30">
        <v>64</v>
      </c>
      <c r="D396" s="20" t="s">
        <v>38</v>
      </c>
      <c r="E396" s="20">
        <v>0</v>
      </c>
      <c r="F396" s="20">
        <v>1</v>
      </c>
      <c r="G396" s="20">
        <v>0</v>
      </c>
      <c r="H396" s="20">
        <v>1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31">
        <v>44179</v>
      </c>
      <c r="O396" s="31">
        <v>44188</v>
      </c>
      <c r="P396" s="24">
        <f t="shared" si="6"/>
        <v>10</v>
      </c>
      <c r="Q396" s="32" t="s">
        <v>31</v>
      </c>
      <c r="R396" s="32" t="s">
        <v>31</v>
      </c>
      <c r="S396" s="32" t="s">
        <v>32</v>
      </c>
      <c r="T396" s="20">
        <v>14466.74</v>
      </c>
      <c r="U396" s="20" t="s">
        <v>69</v>
      </c>
      <c r="V396" s="20" t="s">
        <v>160</v>
      </c>
      <c r="W396" s="20" t="s">
        <v>161</v>
      </c>
      <c r="X396" s="20" t="s">
        <v>162</v>
      </c>
      <c r="Y396" s="26">
        <v>46</v>
      </c>
      <c r="Z396" s="26">
        <v>27.371459999999999</v>
      </c>
      <c r="AA396" s="27">
        <v>0</v>
      </c>
      <c r="AB396" s="33">
        <v>1</v>
      </c>
      <c r="AC396" s="20">
        <v>1</v>
      </c>
      <c r="AD396" s="28">
        <v>5</v>
      </c>
    </row>
    <row r="397" spans="1:30" ht="14.55" customHeight="1" x14ac:dyDescent="0.4">
      <c r="A397" s="20">
        <v>0</v>
      </c>
      <c r="B397" s="20">
        <v>45</v>
      </c>
      <c r="C397" s="30">
        <v>62</v>
      </c>
      <c r="D397" s="20" t="s">
        <v>30</v>
      </c>
      <c r="E397" s="20">
        <v>1</v>
      </c>
      <c r="F397" s="20">
        <v>1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1</v>
      </c>
      <c r="M397" s="20">
        <v>0</v>
      </c>
      <c r="N397" s="31">
        <v>44198</v>
      </c>
      <c r="O397" s="31">
        <v>44204</v>
      </c>
      <c r="P397" s="24">
        <f t="shared" si="6"/>
        <v>7</v>
      </c>
      <c r="Q397" s="32" t="s">
        <v>31</v>
      </c>
      <c r="R397" s="32" t="s">
        <v>31</v>
      </c>
      <c r="S397" s="32" t="s">
        <v>32</v>
      </c>
      <c r="T397" s="20">
        <v>9291.81</v>
      </c>
      <c r="U397" s="20" t="s">
        <v>69</v>
      </c>
      <c r="V397" s="20" t="s">
        <v>163</v>
      </c>
      <c r="W397" s="20" t="s">
        <v>164</v>
      </c>
      <c r="X397" s="20" t="s">
        <v>34</v>
      </c>
      <c r="Y397" s="26">
        <v>868</v>
      </c>
      <c r="Z397" s="26">
        <v>27.649539999999998</v>
      </c>
      <c r="AA397" s="27">
        <v>1</v>
      </c>
      <c r="AB397" s="33" t="s">
        <v>34</v>
      </c>
      <c r="AC397" s="20" t="s">
        <v>31</v>
      </c>
      <c r="AD397" s="28">
        <v>3</v>
      </c>
    </row>
    <row r="398" spans="1:30" ht="14.55" customHeight="1" x14ac:dyDescent="0.4">
      <c r="A398" s="20">
        <v>0</v>
      </c>
      <c r="B398" s="20">
        <v>46</v>
      </c>
      <c r="C398" s="30">
        <v>58</v>
      </c>
      <c r="D398" s="20" t="s">
        <v>38</v>
      </c>
      <c r="E398" s="20">
        <v>1</v>
      </c>
      <c r="F398" s="20">
        <v>1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31">
        <v>44195</v>
      </c>
      <c r="O398" s="31">
        <v>44204</v>
      </c>
      <c r="P398" s="24">
        <f t="shared" si="6"/>
        <v>10</v>
      </c>
      <c r="Q398" s="32" t="s">
        <v>31</v>
      </c>
      <c r="R398" s="32" t="s">
        <v>31</v>
      </c>
      <c r="S398" s="32" t="s">
        <v>32</v>
      </c>
      <c r="T398" s="20">
        <v>12676.71</v>
      </c>
      <c r="U398" s="20" t="s">
        <v>36</v>
      </c>
      <c r="V398" s="20" t="s">
        <v>165</v>
      </c>
      <c r="W398" s="20" t="s">
        <v>34</v>
      </c>
      <c r="X398" s="20" t="s">
        <v>34</v>
      </c>
      <c r="Y398" s="26">
        <v>48</v>
      </c>
      <c r="Z398" s="26">
        <v>25.011430707760201</v>
      </c>
      <c r="AA398" s="27" t="s">
        <v>34</v>
      </c>
      <c r="AB398" s="33" t="s">
        <v>34</v>
      </c>
      <c r="AC398" s="20" t="s">
        <v>31</v>
      </c>
      <c r="AD398" s="28">
        <v>7</v>
      </c>
    </row>
    <row r="399" spans="1:30" ht="14.55" customHeight="1" x14ac:dyDescent="0.4">
      <c r="A399" s="20">
        <v>0</v>
      </c>
      <c r="B399" s="20">
        <v>47</v>
      </c>
      <c r="C399" s="30">
        <v>57</v>
      </c>
      <c r="D399" s="20" t="s">
        <v>30</v>
      </c>
      <c r="E399" s="20">
        <v>0</v>
      </c>
      <c r="F399" s="20">
        <v>0</v>
      </c>
      <c r="G399" s="20">
        <v>0</v>
      </c>
      <c r="H399" s="20">
        <v>1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31">
        <v>44204</v>
      </c>
      <c r="O399" s="31">
        <v>44209</v>
      </c>
      <c r="P399" s="24">
        <f t="shared" si="6"/>
        <v>6</v>
      </c>
      <c r="Q399" s="32" t="s">
        <v>31</v>
      </c>
      <c r="R399" s="32" t="s">
        <v>31</v>
      </c>
      <c r="S399" s="32" t="s">
        <v>32</v>
      </c>
      <c r="T399" s="20">
        <v>7212.44</v>
      </c>
      <c r="U399" s="20" t="s">
        <v>33</v>
      </c>
      <c r="V399" s="20" t="s">
        <v>166</v>
      </c>
      <c r="W399" s="20" t="s">
        <v>34</v>
      </c>
      <c r="X399" s="20" t="s">
        <v>167</v>
      </c>
      <c r="Y399" s="26">
        <v>45</v>
      </c>
      <c r="Z399" s="26">
        <v>26.979245278984301</v>
      </c>
      <c r="AA399" s="27" t="s">
        <v>34</v>
      </c>
      <c r="AB399" s="33">
        <v>1</v>
      </c>
      <c r="AC399" s="20">
        <v>1</v>
      </c>
      <c r="AD399" s="28">
        <v>4</v>
      </c>
    </row>
    <row r="400" spans="1:30" ht="14.55" customHeight="1" x14ac:dyDescent="0.4">
      <c r="A400" s="20">
        <v>0</v>
      </c>
      <c r="B400" s="20">
        <v>48</v>
      </c>
      <c r="C400" s="30">
        <v>66</v>
      </c>
      <c r="D400" s="20" t="s">
        <v>38</v>
      </c>
      <c r="E400" s="20">
        <v>0</v>
      </c>
      <c r="F400" s="20">
        <v>1</v>
      </c>
      <c r="G400" s="20">
        <v>0</v>
      </c>
      <c r="H400" s="20">
        <v>1</v>
      </c>
      <c r="I400" s="20">
        <v>1</v>
      </c>
      <c r="J400" s="20">
        <v>1</v>
      </c>
      <c r="K400" s="20">
        <v>0</v>
      </c>
      <c r="L400" s="20">
        <v>0</v>
      </c>
      <c r="M400" s="20">
        <v>0</v>
      </c>
      <c r="N400" s="31">
        <v>44204</v>
      </c>
      <c r="O400" s="31">
        <v>44214</v>
      </c>
      <c r="P400" s="24">
        <f t="shared" si="6"/>
        <v>11</v>
      </c>
      <c r="Q400" s="32" t="s">
        <v>31</v>
      </c>
      <c r="R400" s="32" t="s">
        <v>31</v>
      </c>
      <c r="S400" s="32" t="s">
        <v>32</v>
      </c>
      <c r="T400" s="20">
        <v>14296.84</v>
      </c>
      <c r="U400" s="20" t="s">
        <v>40</v>
      </c>
      <c r="V400" s="20" t="s">
        <v>168</v>
      </c>
      <c r="W400" s="20" t="s">
        <v>34</v>
      </c>
      <c r="X400" s="20" t="s">
        <v>169</v>
      </c>
      <c r="Y400" s="26">
        <v>50</v>
      </c>
      <c r="Z400" s="26">
        <v>26.762356462888398</v>
      </c>
      <c r="AA400" s="27" t="s">
        <v>34</v>
      </c>
      <c r="AB400" s="33">
        <v>1</v>
      </c>
      <c r="AC400" s="20">
        <v>2</v>
      </c>
      <c r="AD400" s="28">
        <v>5</v>
      </c>
    </row>
    <row r="401" spans="1:30" ht="14.55" customHeight="1" x14ac:dyDescent="0.4">
      <c r="A401" s="20">
        <v>0</v>
      </c>
      <c r="B401" s="20">
        <v>49</v>
      </c>
      <c r="C401" s="30">
        <v>59</v>
      </c>
      <c r="D401" s="20" t="s">
        <v>38</v>
      </c>
      <c r="E401" s="20">
        <v>1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31">
        <v>44206</v>
      </c>
      <c r="O401" s="31">
        <v>44211</v>
      </c>
      <c r="P401" s="24">
        <f t="shared" si="6"/>
        <v>6</v>
      </c>
      <c r="Q401" s="32" t="s">
        <v>31</v>
      </c>
      <c r="R401" s="32" t="s">
        <v>31</v>
      </c>
      <c r="S401" s="32" t="s">
        <v>32</v>
      </c>
      <c r="T401" s="20">
        <v>3126.24</v>
      </c>
      <c r="U401" s="20" t="s">
        <v>40</v>
      </c>
      <c r="V401" s="20" t="s">
        <v>170</v>
      </c>
      <c r="W401" s="20" t="s">
        <v>34</v>
      </c>
      <c r="X401" s="20" t="s">
        <v>171</v>
      </c>
      <c r="Y401" s="26">
        <v>48</v>
      </c>
      <c r="Z401" s="26">
        <v>26.698939808644401</v>
      </c>
      <c r="AA401" s="27" t="s">
        <v>34</v>
      </c>
      <c r="AB401" s="33">
        <v>1</v>
      </c>
      <c r="AC401" s="20">
        <v>1</v>
      </c>
      <c r="AD401" s="28">
        <v>4</v>
      </c>
    </row>
    <row r="402" spans="1:30" ht="14.55" customHeight="1" x14ac:dyDescent="0.4">
      <c r="A402" s="20">
        <v>0</v>
      </c>
      <c r="B402" s="20">
        <v>50</v>
      </c>
      <c r="C402" s="30">
        <v>67</v>
      </c>
      <c r="D402" s="20" t="s">
        <v>38</v>
      </c>
      <c r="E402" s="20">
        <v>0</v>
      </c>
      <c r="F402" s="20">
        <v>1</v>
      </c>
      <c r="G402" s="20">
        <v>1</v>
      </c>
      <c r="H402" s="20">
        <v>1</v>
      </c>
      <c r="I402" s="20">
        <v>0</v>
      </c>
      <c r="J402" s="20">
        <v>1</v>
      </c>
      <c r="K402" s="20">
        <v>0</v>
      </c>
      <c r="L402" s="20">
        <v>0</v>
      </c>
      <c r="M402" s="20">
        <v>0</v>
      </c>
      <c r="N402" s="31">
        <v>44210</v>
      </c>
      <c r="O402" s="31">
        <v>44218</v>
      </c>
      <c r="P402" s="24">
        <f t="shared" si="6"/>
        <v>9</v>
      </c>
      <c r="Q402" s="32" t="s">
        <v>31</v>
      </c>
      <c r="R402" s="32" t="s">
        <v>31</v>
      </c>
      <c r="S402" s="32" t="s">
        <v>32</v>
      </c>
      <c r="T402" s="26">
        <v>8196.2999999999993</v>
      </c>
      <c r="U402" s="20" t="s">
        <v>36</v>
      </c>
      <c r="V402" s="20" t="s">
        <v>172</v>
      </c>
      <c r="W402" s="20" t="s">
        <v>34</v>
      </c>
      <c r="X402" s="20" t="s">
        <v>173</v>
      </c>
      <c r="Y402" s="26">
        <v>41</v>
      </c>
      <c r="Z402" s="26">
        <v>24.310999082401398</v>
      </c>
      <c r="AA402" s="27" t="s">
        <v>34</v>
      </c>
      <c r="AB402" s="33">
        <v>1</v>
      </c>
      <c r="AC402" s="20">
        <v>1</v>
      </c>
      <c r="AD402" s="28">
        <v>7</v>
      </c>
    </row>
    <row r="403" spans="1:30" ht="14.55" customHeight="1" x14ac:dyDescent="0.4">
      <c r="A403" s="20">
        <v>0</v>
      </c>
      <c r="B403" s="20">
        <v>51</v>
      </c>
      <c r="C403" s="30">
        <v>66</v>
      </c>
      <c r="D403" s="20" t="s">
        <v>30</v>
      </c>
      <c r="E403" s="20">
        <v>0</v>
      </c>
      <c r="F403" s="20">
        <v>1</v>
      </c>
      <c r="G403" s="20">
        <v>1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31">
        <v>44221</v>
      </c>
      <c r="O403" s="31">
        <v>44237</v>
      </c>
      <c r="P403" s="24">
        <f t="shared" si="6"/>
        <v>17</v>
      </c>
      <c r="Q403" s="32" t="s">
        <v>31</v>
      </c>
      <c r="R403" s="32" t="s">
        <v>31</v>
      </c>
      <c r="S403" s="32" t="s">
        <v>32</v>
      </c>
      <c r="T403" s="20">
        <v>39679.050000000003</v>
      </c>
      <c r="U403" s="20" t="s">
        <v>40</v>
      </c>
      <c r="V403" s="20" t="s">
        <v>174</v>
      </c>
      <c r="W403" s="20" t="s">
        <v>34</v>
      </c>
      <c r="X403" s="20" t="s">
        <v>175</v>
      </c>
      <c r="Y403" s="26">
        <v>46</v>
      </c>
      <c r="Z403" s="26">
        <v>25.277629717253099</v>
      </c>
      <c r="AA403" s="27" t="s">
        <v>34</v>
      </c>
      <c r="AB403" s="33">
        <v>1</v>
      </c>
      <c r="AC403" s="20">
        <v>1</v>
      </c>
      <c r="AD403" s="28">
        <v>3</v>
      </c>
    </row>
    <row r="404" spans="1:30" ht="14.55" customHeight="1" x14ac:dyDescent="0.4">
      <c r="A404" s="20">
        <v>0</v>
      </c>
      <c r="B404" s="20">
        <v>52</v>
      </c>
      <c r="C404" s="30">
        <v>62</v>
      </c>
      <c r="D404" s="20" t="s">
        <v>30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31">
        <v>44221</v>
      </c>
      <c r="O404" s="31">
        <v>44228</v>
      </c>
      <c r="P404" s="24">
        <f t="shared" si="6"/>
        <v>8</v>
      </c>
      <c r="Q404" s="32" t="s">
        <v>31</v>
      </c>
      <c r="R404" s="32" t="s">
        <v>31</v>
      </c>
      <c r="S404" s="32" t="s">
        <v>32</v>
      </c>
      <c r="T404" s="26">
        <v>28862.6</v>
      </c>
      <c r="U404" s="20" t="s">
        <v>36</v>
      </c>
      <c r="V404" s="20" t="s">
        <v>176</v>
      </c>
      <c r="W404" s="20" t="s">
        <v>34</v>
      </c>
      <c r="X404" s="20" t="s">
        <v>177</v>
      </c>
      <c r="Y404" s="26">
        <v>49</v>
      </c>
      <c r="Z404" s="26">
        <v>24.099703185260299</v>
      </c>
      <c r="AA404" s="27" t="s">
        <v>34</v>
      </c>
      <c r="AB404" s="33">
        <v>1</v>
      </c>
      <c r="AC404" s="20">
        <v>1</v>
      </c>
      <c r="AD404" s="28">
        <v>4</v>
      </c>
    </row>
    <row r="405" spans="1:30" ht="14.55" customHeight="1" x14ac:dyDescent="0.4">
      <c r="A405" s="20">
        <v>0</v>
      </c>
      <c r="B405" s="20">
        <v>53</v>
      </c>
      <c r="C405" s="30">
        <v>63</v>
      </c>
      <c r="D405" s="20" t="s">
        <v>38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31">
        <v>44219</v>
      </c>
      <c r="O405" s="31">
        <v>44250</v>
      </c>
      <c r="P405" s="24">
        <f t="shared" si="6"/>
        <v>32</v>
      </c>
      <c r="Q405" s="32" t="s">
        <v>31</v>
      </c>
      <c r="R405" s="32" t="s">
        <v>31</v>
      </c>
      <c r="S405" s="32" t="s">
        <v>32</v>
      </c>
      <c r="T405" s="20">
        <v>20744.73</v>
      </c>
      <c r="U405" s="20" t="s">
        <v>36</v>
      </c>
      <c r="V405" s="20" t="s">
        <v>178</v>
      </c>
      <c r="W405" s="20" t="s">
        <v>34</v>
      </c>
      <c r="X405" s="20" t="s">
        <v>34</v>
      </c>
      <c r="Y405" s="26">
        <v>1529</v>
      </c>
      <c r="Z405" s="26">
        <v>27.1484923940152</v>
      </c>
      <c r="AA405" s="27" t="s">
        <v>34</v>
      </c>
      <c r="AB405" s="33" t="s">
        <v>34</v>
      </c>
      <c r="AC405" s="20" t="s">
        <v>31</v>
      </c>
      <c r="AD405" s="28">
        <v>13</v>
      </c>
    </row>
    <row r="406" spans="1:30" ht="14.55" customHeight="1" x14ac:dyDescent="0.4">
      <c r="A406" s="20">
        <v>0</v>
      </c>
      <c r="B406" s="20">
        <v>54</v>
      </c>
      <c r="C406" s="30">
        <v>56</v>
      </c>
      <c r="D406" s="20" t="s">
        <v>30</v>
      </c>
      <c r="E406" s="20">
        <v>0</v>
      </c>
      <c r="F406" s="20">
        <v>1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31">
        <v>44228</v>
      </c>
      <c r="O406" s="31">
        <v>44245</v>
      </c>
      <c r="P406" s="24">
        <f t="shared" si="6"/>
        <v>18</v>
      </c>
      <c r="Q406" s="32" t="s">
        <v>31</v>
      </c>
      <c r="R406" s="32" t="s">
        <v>31</v>
      </c>
      <c r="S406" s="32" t="s">
        <v>32</v>
      </c>
      <c r="T406" s="20">
        <v>24452.32</v>
      </c>
      <c r="U406" s="20" t="s">
        <v>36</v>
      </c>
      <c r="V406" s="20" t="s">
        <v>179</v>
      </c>
      <c r="W406" s="20" t="s">
        <v>34</v>
      </c>
      <c r="X406" s="20" t="s">
        <v>180</v>
      </c>
      <c r="Y406" s="26">
        <v>54</v>
      </c>
      <c r="Z406" s="26">
        <v>27.1864008940756</v>
      </c>
      <c r="AA406" s="27" t="s">
        <v>34</v>
      </c>
      <c r="AB406" s="33">
        <v>1</v>
      </c>
      <c r="AC406" s="20">
        <v>1</v>
      </c>
      <c r="AD406" s="28">
        <v>10</v>
      </c>
    </row>
    <row r="407" spans="1:30" ht="14.55" customHeight="1" x14ac:dyDescent="0.4">
      <c r="A407" s="20">
        <v>0</v>
      </c>
      <c r="B407" s="20">
        <v>56</v>
      </c>
      <c r="C407" s="30">
        <v>67</v>
      </c>
      <c r="D407" s="20" t="s">
        <v>30</v>
      </c>
      <c r="E407" s="20">
        <v>0</v>
      </c>
      <c r="F407" s="20">
        <v>0</v>
      </c>
      <c r="G407" s="20">
        <v>0</v>
      </c>
      <c r="H407" s="20">
        <v>1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31">
        <v>44247</v>
      </c>
      <c r="O407" s="31">
        <v>44275</v>
      </c>
      <c r="P407" s="24">
        <f t="shared" si="6"/>
        <v>29</v>
      </c>
      <c r="Q407" s="32" t="s">
        <v>31</v>
      </c>
      <c r="R407" s="32" t="s">
        <v>31</v>
      </c>
      <c r="S407" s="32" t="s">
        <v>32</v>
      </c>
      <c r="T407" s="20">
        <v>24600.66</v>
      </c>
      <c r="U407" s="20" t="s">
        <v>36</v>
      </c>
      <c r="V407" s="20" t="s">
        <v>181</v>
      </c>
      <c r="W407" s="20" t="s">
        <v>34</v>
      </c>
      <c r="X407" s="20" t="s">
        <v>182</v>
      </c>
      <c r="Y407" s="26">
        <v>47</v>
      </c>
      <c r="Z407" s="26">
        <v>25.6563560469076</v>
      </c>
      <c r="AA407" s="27" t="s">
        <v>34</v>
      </c>
      <c r="AB407" s="33">
        <v>0</v>
      </c>
      <c r="AC407" s="20" t="s">
        <v>31</v>
      </c>
      <c r="AD407" s="28">
        <v>7</v>
      </c>
    </row>
    <row r="408" spans="1:30" ht="14.55" customHeight="1" x14ac:dyDescent="0.4">
      <c r="A408" s="20">
        <v>0</v>
      </c>
      <c r="B408" s="20">
        <v>57</v>
      </c>
      <c r="C408" s="30">
        <v>58</v>
      </c>
      <c r="D408" s="20" t="s">
        <v>38</v>
      </c>
      <c r="E408" s="20">
        <v>0</v>
      </c>
      <c r="F408" s="20">
        <v>0</v>
      </c>
      <c r="G408" s="20">
        <v>0</v>
      </c>
      <c r="H408" s="20">
        <v>1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31">
        <v>44249</v>
      </c>
      <c r="O408" s="31">
        <v>44262</v>
      </c>
      <c r="P408" s="24">
        <f t="shared" si="6"/>
        <v>14</v>
      </c>
      <c r="Q408" s="32" t="s">
        <v>31</v>
      </c>
      <c r="R408" s="32" t="s">
        <v>31</v>
      </c>
      <c r="S408" s="32" t="s">
        <v>32</v>
      </c>
      <c r="T408" s="20">
        <v>23544.05</v>
      </c>
      <c r="U408" s="20" t="s">
        <v>36</v>
      </c>
      <c r="V408" s="20" t="s">
        <v>183</v>
      </c>
      <c r="W408" s="20" t="s">
        <v>34</v>
      </c>
      <c r="X408" s="20" t="s">
        <v>184</v>
      </c>
      <c r="Y408" s="26">
        <v>47</v>
      </c>
      <c r="Z408" s="26">
        <v>26.0918825212866</v>
      </c>
      <c r="AA408" s="27" t="s">
        <v>34</v>
      </c>
      <c r="AB408" s="33">
        <v>0</v>
      </c>
      <c r="AC408" s="20" t="s">
        <v>31</v>
      </c>
      <c r="AD408" s="28">
        <v>8</v>
      </c>
    </row>
    <row r="409" spans="1:30" ht="14.55" customHeight="1" x14ac:dyDescent="0.4">
      <c r="A409" s="20">
        <v>0</v>
      </c>
      <c r="B409" s="20">
        <v>58</v>
      </c>
      <c r="C409" s="30">
        <v>68</v>
      </c>
      <c r="D409" s="20" t="s">
        <v>38</v>
      </c>
      <c r="E409" s="20">
        <v>1</v>
      </c>
      <c r="F409" s="20">
        <v>1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31">
        <v>44259</v>
      </c>
      <c r="O409" s="31">
        <v>44270</v>
      </c>
      <c r="P409" s="24">
        <f t="shared" si="6"/>
        <v>12</v>
      </c>
      <c r="Q409" s="32" t="s">
        <v>31</v>
      </c>
      <c r="R409" s="32" t="s">
        <v>31</v>
      </c>
      <c r="S409" s="32" t="s">
        <v>32</v>
      </c>
      <c r="T409" s="20">
        <v>17342.05</v>
      </c>
      <c r="U409" s="20" t="s">
        <v>36</v>
      </c>
      <c r="V409" s="20" t="s">
        <v>185</v>
      </c>
      <c r="W409" s="20" t="s">
        <v>34</v>
      </c>
      <c r="X409" s="20" t="s">
        <v>186</v>
      </c>
      <c r="Y409" s="26">
        <v>46</v>
      </c>
      <c r="Z409" s="26">
        <v>27.2663201242685</v>
      </c>
      <c r="AA409" s="27" t="s">
        <v>34</v>
      </c>
      <c r="AB409" s="33">
        <v>0</v>
      </c>
      <c r="AC409" s="20" t="s">
        <v>31</v>
      </c>
      <c r="AD409" s="28">
        <v>7</v>
      </c>
    </row>
    <row r="410" spans="1:30" ht="14.55" customHeight="1" x14ac:dyDescent="0.4">
      <c r="A410" s="20">
        <v>0</v>
      </c>
      <c r="B410" s="20">
        <v>59</v>
      </c>
      <c r="C410" s="30">
        <v>69</v>
      </c>
      <c r="D410" s="20" t="s">
        <v>30</v>
      </c>
      <c r="E410" s="20">
        <v>0</v>
      </c>
      <c r="F410" s="20">
        <v>0</v>
      </c>
      <c r="G410" s="20">
        <v>1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31">
        <v>44263</v>
      </c>
      <c r="O410" s="31">
        <v>44274</v>
      </c>
      <c r="P410" s="24">
        <f t="shared" si="6"/>
        <v>12</v>
      </c>
      <c r="Q410" s="32" t="s">
        <v>31</v>
      </c>
      <c r="R410" s="32" t="s">
        <v>31</v>
      </c>
      <c r="S410" s="32" t="s">
        <v>32</v>
      </c>
      <c r="T410" s="20">
        <v>9010.09</v>
      </c>
      <c r="U410" s="20" t="s">
        <v>69</v>
      </c>
      <c r="V410" s="20" t="s">
        <v>187</v>
      </c>
      <c r="W410" s="20" t="s">
        <v>34</v>
      </c>
      <c r="X410" s="20" t="s">
        <v>34</v>
      </c>
      <c r="Y410" s="26">
        <v>49</v>
      </c>
      <c r="Z410" s="26">
        <v>24.248051921837</v>
      </c>
      <c r="AA410" s="27" t="s">
        <v>34</v>
      </c>
      <c r="AB410" s="33" t="s">
        <v>34</v>
      </c>
      <c r="AC410" s="20" t="s">
        <v>31</v>
      </c>
      <c r="AD410" s="28">
        <v>10</v>
      </c>
    </row>
    <row r="411" spans="1:30" ht="14.55" customHeight="1" x14ac:dyDescent="0.4">
      <c r="A411" s="20">
        <v>0</v>
      </c>
      <c r="B411" s="20">
        <v>60</v>
      </c>
      <c r="C411" s="30">
        <v>56</v>
      </c>
      <c r="D411" s="20" t="s">
        <v>38</v>
      </c>
      <c r="E411" s="20">
        <v>0</v>
      </c>
      <c r="F411" s="20">
        <v>0</v>
      </c>
      <c r="G411" s="20">
        <v>0</v>
      </c>
      <c r="H411" s="20">
        <v>0</v>
      </c>
      <c r="I411" s="20">
        <v>0</v>
      </c>
      <c r="J411" s="20">
        <v>0</v>
      </c>
      <c r="K411" s="20">
        <v>0</v>
      </c>
      <c r="L411" s="20">
        <v>0</v>
      </c>
      <c r="M411" s="20">
        <v>0</v>
      </c>
      <c r="N411" s="31">
        <v>44270</v>
      </c>
      <c r="O411" s="31">
        <v>44278</v>
      </c>
      <c r="P411" s="24">
        <f t="shared" si="6"/>
        <v>9</v>
      </c>
      <c r="Q411" s="32" t="s">
        <v>31</v>
      </c>
      <c r="R411" s="32" t="s">
        <v>31</v>
      </c>
      <c r="S411" s="32" t="s">
        <v>32</v>
      </c>
      <c r="T411" s="20">
        <v>21024.61</v>
      </c>
      <c r="U411" s="20" t="s">
        <v>36</v>
      </c>
      <c r="V411" s="20" t="s">
        <v>188</v>
      </c>
      <c r="W411" s="20" t="s">
        <v>34</v>
      </c>
      <c r="X411" s="20" t="s">
        <v>189</v>
      </c>
      <c r="Y411" s="26">
        <v>53</v>
      </c>
      <c r="Z411" s="26">
        <v>26.7697072504088</v>
      </c>
      <c r="AA411" s="27" t="s">
        <v>34</v>
      </c>
      <c r="AB411" s="33">
        <v>1</v>
      </c>
      <c r="AC411" s="20">
        <v>1</v>
      </c>
      <c r="AD411" s="28">
        <v>5</v>
      </c>
    </row>
    <row r="412" spans="1:30" ht="14.55" customHeight="1" x14ac:dyDescent="0.4">
      <c r="A412" s="20">
        <v>0</v>
      </c>
      <c r="B412" s="20">
        <v>61</v>
      </c>
      <c r="C412" s="30">
        <v>65</v>
      </c>
      <c r="D412" s="20" t="s">
        <v>38</v>
      </c>
      <c r="E412" s="20">
        <v>0</v>
      </c>
      <c r="F412" s="20">
        <v>1</v>
      </c>
      <c r="G412" s="20">
        <v>0</v>
      </c>
      <c r="H412" s="20">
        <v>0</v>
      </c>
      <c r="I412" s="20">
        <v>0</v>
      </c>
      <c r="J412" s="20">
        <v>0</v>
      </c>
      <c r="K412" s="20">
        <v>0</v>
      </c>
      <c r="L412" s="20">
        <v>0</v>
      </c>
      <c r="M412" s="20">
        <v>0</v>
      </c>
      <c r="N412" s="31">
        <v>44304</v>
      </c>
      <c r="O412" s="31">
        <v>44311</v>
      </c>
      <c r="P412" s="24">
        <f t="shared" si="6"/>
        <v>8</v>
      </c>
      <c r="Q412" s="32" t="s">
        <v>31</v>
      </c>
      <c r="R412" s="32" t="s">
        <v>31</v>
      </c>
      <c r="S412" s="32" t="s">
        <v>32</v>
      </c>
      <c r="T412" s="20">
        <v>8096.97</v>
      </c>
      <c r="U412" s="20" t="s">
        <v>36</v>
      </c>
      <c r="V412" s="20" t="s">
        <v>190</v>
      </c>
      <c r="W412" s="20" t="s">
        <v>191</v>
      </c>
      <c r="X412" s="20" t="s">
        <v>192</v>
      </c>
      <c r="Y412" s="26">
        <v>46</v>
      </c>
      <c r="Z412" s="26">
        <v>27.493110000000001</v>
      </c>
      <c r="AA412" s="27">
        <v>1</v>
      </c>
      <c r="AB412" s="33">
        <v>1</v>
      </c>
      <c r="AC412" s="20">
        <v>1</v>
      </c>
      <c r="AD412" s="28">
        <v>4</v>
      </c>
    </row>
    <row r="413" spans="1:30" ht="14.55" customHeight="1" x14ac:dyDescent="0.4">
      <c r="A413" s="20">
        <v>0</v>
      </c>
      <c r="B413" s="20">
        <v>62</v>
      </c>
      <c r="C413" s="30">
        <v>62</v>
      </c>
      <c r="D413" s="20" t="s">
        <v>38</v>
      </c>
      <c r="E413" s="20">
        <v>0</v>
      </c>
      <c r="F413" s="20">
        <v>1</v>
      </c>
      <c r="G413" s="20">
        <v>0</v>
      </c>
      <c r="H413" s="20">
        <v>0</v>
      </c>
      <c r="I413" s="20">
        <v>0</v>
      </c>
      <c r="J413" s="20">
        <v>0</v>
      </c>
      <c r="K413" s="20">
        <v>0</v>
      </c>
      <c r="L413" s="20">
        <v>0</v>
      </c>
      <c r="M413" s="20">
        <v>0</v>
      </c>
      <c r="N413" s="31">
        <v>44307</v>
      </c>
      <c r="O413" s="31">
        <v>44314</v>
      </c>
      <c r="P413" s="24">
        <f t="shared" si="6"/>
        <v>8</v>
      </c>
      <c r="Q413" s="32" t="s">
        <v>31</v>
      </c>
      <c r="R413" s="32" t="s">
        <v>31</v>
      </c>
      <c r="S413" s="32" t="s">
        <v>32</v>
      </c>
      <c r="T413" s="20">
        <v>9165.25</v>
      </c>
      <c r="U413" s="20" t="s">
        <v>36</v>
      </c>
      <c r="V413" s="20" t="s">
        <v>193</v>
      </c>
      <c r="W413" s="20" t="s">
        <v>194</v>
      </c>
      <c r="X413" s="20" t="s">
        <v>195</v>
      </c>
      <c r="Y413" s="26">
        <v>94</v>
      </c>
      <c r="Z413" s="26">
        <v>27.559080000000002</v>
      </c>
      <c r="AA413" s="27">
        <v>1</v>
      </c>
      <c r="AB413" s="33">
        <v>1</v>
      </c>
      <c r="AC413" s="20">
        <v>1</v>
      </c>
      <c r="AD413" s="28">
        <v>5</v>
      </c>
    </row>
    <row r="414" spans="1:30" ht="14.55" customHeight="1" x14ac:dyDescent="0.4">
      <c r="A414" s="20">
        <v>0</v>
      </c>
      <c r="B414" s="20">
        <v>63</v>
      </c>
      <c r="C414" s="30">
        <v>58</v>
      </c>
      <c r="D414" s="20" t="s">
        <v>38</v>
      </c>
      <c r="E414" s="20">
        <v>0</v>
      </c>
      <c r="F414" s="20">
        <v>1</v>
      </c>
      <c r="G414" s="20">
        <v>0</v>
      </c>
      <c r="H414" s="20">
        <v>0</v>
      </c>
      <c r="I414" s="20">
        <v>0</v>
      </c>
      <c r="J414" s="20">
        <v>0</v>
      </c>
      <c r="K414" s="20">
        <v>0</v>
      </c>
      <c r="L414" s="20">
        <v>0</v>
      </c>
      <c r="M414" s="20">
        <v>0</v>
      </c>
      <c r="N414" s="31">
        <v>44320</v>
      </c>
      <c r="O414" s="31">
        <v>44330</v>
      </c>
      <c r="P414" s="24">
        <f t="shared" si="6"/>
        <v>11</v>
      </c>
      <c r="Q414" s="32" t="s">
        <v>31</v>
      </c>
      <c r="R414" s="32" t="s">
        <v>31</v>
      </c>
      <c r="S414" s="32" t="s">
        <v>32</v>
      </c>
      <c r="T414" s="20">
        <v>12318.92</v>
      </c>
      <c r="U414" s="20" t="s">
        <v>36</v>
      </c>
      <c r="V414" s="20" t="s">
        <v>196</v>
      </c>
      <c r="W414" s="20" t="s">
        <v>197</v>
      </c>
      <c r="X414" s="20" t="s">
        <v>198</v>
      </c>
      <c r="Y414" s="26">
        <v>146</v>
      </c>
      <c r="Z414" s="26">
        <v>25.502109999999998</v>
      </c>
      <c r="AA414" s="27">
        <v>0</v>
      </c>
      <c r="AB414" s="33">
        <v>0</v>
      </c>
      <c r="AC414" s="20" t="s">
        <v>31</v>
      </c>
      <c r="AD414" s="28">
        <v>5</v>
      </c>
    </row>
    <row r="415" spans="1:30" ht="14.55" customHeight="1" x14ac:dyDescent="0.4">
      <c r="A415" s="20">
        <v>0</v>
      </c>
      <c r="B415" s="20">
        <v>64</v>
      </c>
      <c r="C415" s="30">
        <v>58</v>
      </c>
      <c r="D415" s="20" t="s">
        <v>30</v>
      </c>
      <c r="E415" s="20">
        <v>1</v>
      </c>
      <c r="F415" s="20">
        <v>0</v>
      </c>
      <c r="G415" s="20">
        <v>0</v>
      </c>
      <c r="H415" s="20">
        <v>1</v>
      </c>
      <c r="I415" s="20">
        <v>0</v>
      </c>
      <c r="J415" s="20">
        <v>0</v>
      </c>
      <c r="K415" s="20">
        <v>0</v>
      </c>
      <c r="L415" s="20">
        <v>0</v>
      </c>
      <c r="M415" s="20">
        <v>0</v>
      </c>
      <c r="N415" s="31">
        <v>44325</v>
      </c>
      <c r="O415" s="31">
        <v>44343</v>
      </c>
      <c r="P415" s="24">
        <f t="shared" si="6"/>
        <v>19</v>
      </c>
      <c r="Q415" s="32" t="s">
        <v>31</v>
      </c>
      <c r="R415" s="32" t="s">
        <v>31</v>
      </c>
      <c r="S415" s="32" t="s">
        <v>32</v>
      </c>
      <c r="T415" s="20">
        <v>68328.98</v>
      </c>
      <c r="U415" s="20" t="s">
        <v>33</v>
      </c>
      <c r="V415" s="20" t="s">
        <v>199</v>
      </c>
      <c r="W415" s="20" t="s">
        <v>34</v>
      </c>
      <c r="X415" s="20" t="s">
        <v>200</v>
      </c>
      <c r="Y415" s="26">
        <v>288</v>
      </c>
      <c r="Z415" s="26">
        <v>27.0272910241038</v>
      </c>
      <c r="AA415" s="27" t="s">
        <v>34</v>
      </c>
      <c r="AB415" s="33">
        <v>1</v>
      </c>
      <c r="AC415" s="20">
        <v>1</v>
      </c>
      <c r="AD415" s="28">
        <v>10</v>
      </c>
    </row>
    <row r="416" spans="1:30" ht="14.55" customHeight="1" x14ac:dyDescent="0.4">
      <c r="A416" s="20">
        <v>0</v>
      </c>
      <c r="B416" s="20">
        <v>65</v>
      </c>
      <c r="C416" s="30">
        <v>59</v>
      </c>
      <c r="D416" s="20" t="s">
        <v>30</v>
      </c>
      <c r="E416" s="20">
        <v>0</v>
      </c>
      <c r="F416" s="20">
        <v>1</v>
      </c>
      <c r="G416" s="20">
        <v>0</v>
      </c>
      <c r="H416" s="20">
        <v>0</v>
      </c>
      <c r="I416" s="20">
        <v>0</v>
      </c>
      <c r="J416" s="20">
        <v>0</v>
      </c>
      <c r="K416" s="20">
        <v>0</v>
      </c>
      <c r="L416" s="20">
        <v>1</v>
      </c>
      <c r="M416" s="20">
        <v>0</v>
      </c>
      <c r="N416" s="31">
        <v>44344</v>
      </c>
      <c r="O416" s="31">
        <v>44352</v>
      </c>
      <c r="P416" s="24">
        <f t="shared" si="6"/>
        <v>9</v>
      </c>
      <c r="Q416" s="32" t="s">
        <v>31</v>
      </c>
      <c r="R416" s="32" t="s">
        <v>31</v>
      </c>
      <c r="S416" s="32" t="s">
        <v>32</v>
      </c>
      <c r="T416" s="20">
        <v>8166.16</v>
      </c>
      <c r="U416" s="20" t="s">
        <v>69</v>
      </c>
      <c r="V416" s="20" t="s">
        <v>201</v>
      </c>
      <c r="W416" s="20" t="s">
        <v>34</v>
      </c>
      <c r="X416" s="20" t="s">
        <v>202</v>
      </c>
      <c r="Y416" s="26">
        <v>48</v>
      </c>
      <c r="Z416" s="26">
        <v>25.117932878434701</v>
      </c>
      <c r="AA416" s="27" t="s">
        <v>34</v>
      </c>
      <c r="AB416" s="33">
        <v>1</v>
      </c>
      <c r="AC416" s="20">
        <v>1</v>
      </c>
      <c r="AD416" s="28">
        <v>6</v>
      </c>
    </row>
    <row r="417" spans="1:30" ht="14.55" customHeight="1" x14ac:dyDescent="0.4">
      <c r="A417" s="20">
        <v>0</v>
      </c>
      <c r="B417" s="20">
        <v>66</v>
      </c>
      <c r="C417" s="30">
        <v>57</v>
      </c>
      <c r="D417" s="20" t="s">
        <v>38</v>
      </c>
      <c r="E417" s="20">
        <v>0</v>
      </c>
      <c r="F417" s="20">
        <v>1</v>
      </c>
      <c r="G417" s="20">
        <v>0</v>
      </c>
      <c r="H417" s="20">
        <v>0</v>
      </c>
      <c r="I417" s="20">
        <v>0</v>
      </c>
      <c r="J417" s="20">
        <v>0</v>
      </c>
      <c r="K417" s="20">
        <v>0</v>
      </c>
      <c r="L417" s="20">
        <v>0</v>
      </c>
      <c r="M417" s="20">
        <v>0</v>
      </c>
      <c r="N417" s="31">
        <v>44343</v>
      </c>
      <c r="O417" s="31">
        <v>44357</v>
      </c>
      <c r="P417" s="24">
        <f t="shared" si="6"/>
        <v>15</v>
      </c>
      <c r="Q417" s="32" t="s">
        <v>31</v>
      </c>
      <c r="R417" s="32" t="s">
        <v>31</v>
      </c>
      <c r="S417" s="32" t="s">
        <v>32</v>
      </c>
      <c r="T417" s="20">
        <v>11157.58</v>
      </c>
      <c r="U417" s="20" t="s">
        <v>69</v>
      </c>
      <c r="V417" s="20" t="s">
        <v>203</v>
      </c>
      <c r="W417" s="20" t="s">
        <v>34</v>
      </c>
      <c r="X417" s="20" t="s">
        <v>204</v>
      </c>
      <c r="Y417" s="26">
        <v>47</v>
      </c>
      <c r="Z417" s="26">
        <v>27.910647129640001</v>
      </c>
      <c r="AA417" s="27" t="s">
        <v>34</v>
      </c>
      <c r="AB417" s="33">
        <v>1</v>
      </c>
      <c r="AC417" s="20">
        <v>1</v>
      </c>
      <c r="AD417" s="28">
        <v>8</v>
      </c>
    </row>
    <row r="418" spans="1:30" ht="14.55" customHeight="1" x14ac:dyDescent="0.4">
      <c r="A418" s="20">
        <v>0</v>
      </c>
      <c r="B418" s="20">
        <v>67</v>
      </c>
      <c r="C418" s="30">
        <v>62</v>
      </c>
      <c r="D418" s="20" t="s">
        <v>30</v>
      </c>
      <c r="E418" s="20">
        <v>0</v>
      </c>
      <c r="F418" s="20">
        <v>1</v>
      </c>
      <c r="G418" s="20">
        <v>0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31">
        <v>44355</v>
      </c>
      <c r="O418" s="31">
        <v>44360</v>
      </c>
      <c r="P418" s="24">
        <f t="shared" si="6"/>
        <v>6</v>
      </c>
      <c r="Q418" s="32" t="s">
        <v>31</v>
      </c>
      <c r="R418" s="32" t="s">
        <v>31</v>
      </c>
      <c r="S418" s="32" t="s">
        <v>32</v>
      </c>
      <c r="T418" s="20">
        <v>7411.01</v>
      </c>
      <c r="U418" s="20" t="s">
        <v>36</v>
      </c>
      <c r="V418" s="20" t="s">
        <v>205</v>
      </c>
      <c r="W418" s="20" t="s">
        <v>206</v>
      </c>
      <c r="X418" s="20" t="s">
        <v>207</v>
      </c>
      <c r="Y418" s="26">
        <v>265</v>
      </c>
      <c r="Z418" s="26">
        <v>27.132339999999999</v>
      </c>
      <c r="AA418" s="27">
        <v>1</v>
      </c>
      <c r="AB418" s="33">
        <v>1</v>
      </c>
      <c r="AC418" s="20">
        <v>1</v>
      </c>
      <c r="AD418" s="28">
        <v>3</v>
      </c>
    </row>
    <row r="419" spans="1:30" ht="14.55" customHeight="1" x14ac:dyDescent="0.4">
      <c r="A419" s="20">
        <v>0</v>
      </c>
      <c r="B419" s="20">
        <v>68</v>
      </c>
      <c r="C419" s="30">
        <v>67</v>
      </c>
      <c r="D419" s="20" t="s">
        <v>38</v>
      </c>
      <c r="E419" s="20">
        <v>0</v>
      </c>
      <c r="F419" s="20">
        <v>1</v>
      </c>
      <c r="G419" s="20">
        <v>0</v>
      </c>
      <c r="H419" s="20">
        <v>1</v>
      </c>
      <c r="I419" s="20">
        <v>0</v>
      </c>
      <c r="J419" s="20">
        <v>0</v>
      </c>
      <c r="K419" s="20">
        <v>0</v>
      </c>
      <c r="L419" s="20">
        <v>0</v>
      </c>
      <c r="M419" s="20">
        <v>0</v>
      </c>
      <c r="N419" s="31">
        <v>44370</v>
      </c>
      <c r="O419" s="31">
        <v>44379</v>
      </c>
      <c r="P419" s="24">
        <f t="shared" si="6"/>
        <v>10</v>
      </c>
      <c r="Q419" s="32" t="s">
        <v>31</v>
      </c>
      <c r="R419" s="32" t="s">
        <v>31</v>
      </c>
      <c r="S419" s="32" t="s">
        <v>32</v>
      </c>
      <c r="T419" s="26">
        <v>12283.4</v>
      </c>
      <c r="U419" s="20" t="s">
        <v>69</v>
      </c>
      <c r="V419" s="20" t="s">
        <v>208</v>
      </c>
      <c r="W419" s="20" t="s">
        <v>102</v>
      </c>
      <c r="X419" s="20" t="s">
        <v>209</v>
      </c>
      <c r="Y419" s="26">
        <v>72</v>
      </c>
      <c r="Z419" s="26">
        <v>26.56279</v>
      </c>
      <c r="AA419" s="27">
        <v>1</v>
      </c>
      <c r="AB419" s="33">
        <v>1</v>
      </c>
      <c r="AC419" s="20">
        <v>1</v>
      </c>
      <c r="AD419" s="28">
        <v>6</v>
      </c>
    </row>
    <row r="420" spans="1:30" ht="14.55" customHeight="1" x14ac:dyDescent="0.4">
      <c r="A420" s="20">
        <v>0</v>
      </c>
      <c r="B420" s="20">
        <v>69</v>
      </c>
      <c r="C420" s="30">
        <v>60</v>
      </c>
      <c r="D420" s="20" t="s">
        <v>30</v>
      </c>
      <c r="E420" s="20">
        <v>0</v>
      </c>
      <c r="F420" s="20">
        <v>1</v>
      </c>
      <c r="G420" s="20">
        <v>0</v>
      </c>
      <c r="H420" s="20">
        <v>1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31">
        <v>44389</v>
      </c>
      <c r="O420" s="31">
        <v>44393</v>
      </c>
      <c r="P420" s="24">
        <f t="shared" si="6"/>
        <v>5</v>
      </c>
      <c r="Q420" s="32" t="s">
        <v>31</v>
      </c>
      <c r="R420" s="32" t="s">
        <v>31</v>
      </c>
      <c r="S420" s="32" t="s">
        <v>32</v>
      </c>
      <c r="T420" s="20">
        <v>8343.48</v>
      </c>
      <c r="U420" s="20" t="s">
        <v>40</v>
      </c>
      <c r="V420" s="20" t="s">
        <v>210</v>
      </c>
      <c r="W420" s="20" t="s">
        <v>34</v>
      </c>
      <c r="X420" s="20" t="s">
        <v>211</v>
      </c>
      <c r="Y420" s="26">
        <v>46</v>
      </c>
      <c r="Z420" s="26">
        <v>25.0818663826212</v>
      </c>
      <c r="AA420" s="27" t="s">
        <v>34</v>
      </c>
      <c r="AB420" s="33">
        <v>1</v>
      </c>
      <c r="AC420" s="20">
        <v>1</v>
      </c>
      <c r="AD420" s="28">
        <v>3</v>
      </c>
    </row>
    <row r="421" spans="1:30" ht="14.55" customHeight="1" x14ac:dyDescent="0.4">
      <c r="A421" s="20">
        <v>0</v>
      </c>
      <c r="B421" s="20">
        <v>70</v>
      </c>
      <c r="C421" s="30">
        <v>69</v>
      </c>
      <c r="D421" s="20" t="s">
        <v>30</v>
      </c>
      <c r="E421" s="20">
        <v>0</v>
      </c>
      <c r="F421" s="20">
        <v>0</v>
      </c>
      <c r="G421" s="20">
        <v>0</v>
      </c>
      <c r="H421" s="20">
        <v>1</v>
      </c>
      <c r="I421" s="20">
        <v>0</v>
      </c>
      <c r="J421" s="20">
        <v>0</v>
      </c>
      <c r="K421" s="20">
        <v>0</v>
      </c>
      <c r="L421" s="20">
        <v>0</v>
      </c>
      <c r="M421" s="20">
        <v>0</v>
      </c>
      <c r="N421" s="31">
        <v>44396</v>
      </c>
      <c r="O421" s="31">
        <v>44409</v>
      </c>
      <c r="P421" s="24">
        <f t="shared" si="6"/>
        <v>14</v>
      </c>
      <c r="Q421" s="32" t="s">
        <v>31</v>
      </c>
      <c r="R421" s="32" t="s">
        <v>31</v>
      </c>
      <c r="S421" s="32" t="s">
        <v>32</v>
      </c>
      <c r="T421" s="20">
        <v>18179.64</v>
      </c>
      <c r="U421" s="20" t="s">
        <v>40</v>
      </c>
      <c r="V421" s="20" t="s">
        <v>212</v>
      </c>
      <c r="W421" s="20" t="s">
        <v>34</v>
      </c>
      <c r="X421" s="20" t="s">
        <v>213</v>
      </c>
      <c r="Y421" s="26">
        <v>47</v>
      </c>
      <c r="Z421" s="26">
        <v>26.017561090178798</v>
      </c>
      <c r="AA421" s="27" t="s">
        <v>34</v>
      </c>
      <c r="AB421" s="33">
        <v>1</v>
      </c>
      <c r="AC421" s="20">
        <v>1</v>
      </c>
      <c r="AD421" s="28">
        <v>8</v>
      </c>
    </row>
    <row r="422" spans="1:30" ht="14.55" customHeight="1" x14ac:dyDescent="0.4">
      <c r="A422" s="20">
        <v>0</v>
      </c>
      <c r="B422" s="20">
        <v>71</v>
      </c>
      <c r="C422" s="30">
        <v>55</v>
      </c>
      <c r="D422" s="20" t="s">
        <v>30</v>
      </c>
      <c r="E422" s="20">
        <v>0</v>
      </c>
      <c r="F422" s="20">
        <v>1</v>
      </c>
      <c r="G422" s="20">
        <v>0</v>
      </c>
      <c r="H422" s="20">
        <v>1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31">
        <v>44398</v>
      </c>
      <c r="O422" s="31">
        <v>44406</v>
      </c>
      <c r="P422" s="24">
        <f t="shared" si="6"/>
        <v>9</v>
      </c>
      <c r="Q422" s="32" t="s">
        <v>31</v>
      </c>
      <c r="R422" s="32" t="s">
        <v>31</v>
      </c>
      <c r="S422" s="32" t="s">
        <v>32</v>
      </c>
      <c r="T422" s="20">
        <v>11165.35</v>
      </c>
      <c r="U422" s="20" t="s">
        <v>51</v>
      </c>
      <c r="V422" s="20" t="s">
        <v>214</v>
      </c>
      <c r="W422" s="20" t="s">
        <v>34</v>
      </c>
      <c r="X422" s="20" t="s">
        <v>215</v>
      </c>
      <c r="Y422" s="26">
        <v>270</v>
      </c>
      <c r="Z422" s="26">
        <v>24.232809145934901</v>
      </c>
      <c r="AA422" s="27" t="s">
        <v>34</v>
      </c>
      <c r="AB422" s="33">
        <v>1</v>
      </c>
      <c r="AC422" s="20">
        <v>1</v>
      </c>
      <c r="AD422" s="28">
        <v>6</v>
      </c>
    </row>
    <row r="423" spans="1:30" ht="14.55" customHeight="1" x14ac:dyDescent="0.4">
      <c r="A423" s="20">
        <v>0</v>
      </c>
      <c r="B423" s="20">
        <v>72</v>
      </c>
      <c r="C423" s="30">
        <v>58</v>
      </c>
      <c r="D423" s="20" t="s">
        <v>30</v>
      </c>
      <c r="E423" s="20">
        <v>0</v>
      </c>
      <c r="F423" s="20">
        <v>0</v>
      </c>
      <c r="G423" s="20">
        <v>0</v>
      </c>
      <c r="H423" s="20">
        <v>1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31">
        <v>44411</v>
      </c>
      <c r="O423" s="31">
        <v>44417</v>
      </c>
      <c r="P423" s="24">
        <f t="shared" si="6"/>
        <v>7</v>
      </c>
      <c r="Q423" s="32" t="s">
        <v>31</v>
      </c>
      <c r="R423" s="32" t="s">
        <v>31</v>
      </c>
      <c r="S423" s="32" t="s">
        <v>32</v>
      </c>
      <c r="T423" s="20">
        <v>9887.4500000000007</v>
      </c>
      <c r="U423" s="20" t="s">
        <v>33</v>
      </c>
      <c r="V423" s="20" t="s">
        <v>216</v>
      </c>
      <c r="W423" s="20" t="s">
        <v>34</v>
      </c>
      <c r="X423" s="20" t="s">
        <v>217</v>
      </c>
      <c r="Y423" s="26">
        <v>47</v>
      </c>
      <c r="Z423" s="26">
        <v>25.968899632804099</v>
      </c>
      <c r="AA423" s="27" t="s">
        <v>34</v>
      </c>
      <c r="AB423" s="33">
        <v>0</v>
      </c>
      <c r="AC423" s="20" t="s">
        <v>31</v>
      </c>
      <c r="AD423" s="28">
        <v>4</v>
      </c>
    </row>
    <row r="424" spans="1:30" ht="14.55" customHeight="1" x14ac:dyDescent="0.4">
      <c r="A424" s="20">
        <v>0</v>
      </c>
      <c r="B424" s="20">
        <v>73</v>
      </c>
      <c r="C424" s="30">
        <v>63</v>
      </c>
      <c r="D424" s="20" t="s">
        <v>30</v>
      </c>
      <c r="E424" s="20">
        <v>0</v>
      </c>
      <c r="F424" s="20">
        <v>1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31">
        <v>44424</v>
      </c>
      <c r="O424" s="31">
        <v>44430</v>
      </c>
      <c r="P424" s="24">
        <f t="shared" si="6"/>
        <v>7</v>
      </c>
      <c r="Q424" s="32" t="s">
        <v>31</v>
      </c>
      <c r="R424" s="32" t="s">
        <v>31</v>
      </c>
      <c r="S424" s="32" t="s">
        <v>32</v>
      </c>
      <c r="T424" s="20">
        <v>9760.16</v>
      </c>
      <c r="U424" s="20" t="s">
        <v>36</v>
      </c>
      <c r="V424" s="20" t="s">
        <v>218</v>
      </c>
      <c r="W424" s="20" t="s">
        <v>34</v>
      </c>
      <c r="X424" s="20" t="s">
        <v>34</v>
      </c>
      <c r="Y424" s="26">
        <v>77</v>
      </c>
      <c r="Z424" s="26">
        <v>26.9362791543826</v>
      </c>
      <c r="AA424" s="27" t="s">
        <v>34</v>
      </c>
      <c r="AB424" s="33" t="s">
        <v>34</v>
      </c>
      <c r="AC424" s="20" t="s">
        <v>31</v>
      </c>
      <c r="AD424" s="28">
        <v>4</v>
      </c>
    </row>
    <row r="425" spans="1:30" ht="14.55" customHeight="1" x14ac:dyDescent="0.4">
      <c r="A425" s="20">
        <v>0</v>
      </c>
      <c r="B425" s="20">
        <v>74</v>
      </c>
      <c r="C425" s="30">
        <v>62</v>
      </c>
      <c r="D425" s="20" t="s">
        <v>38</v>
      </c>
      <c r="E425" s="20">
        <v>0</v>
      </c>
      <c r="F425" s="20">
        <v>1</v>
      </c>
      <c r="G425" s="20">
        <v>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>
        <v>0</v>
      </c>
      <c r="N425" s="31">
        <v>44425</v>
      </c>
      <c r="O425" s="31">
        <v>44431</v>
      </c>
      <c r="P425" s="24">
        <f t="shared" si="6"/>
        <v>7</v>
      </c>
      <c r="Q425" s="32" t="s">
        <v>31</v>
      </c>
      <c r="R425" s="32" t="s">
        <v>31</v>
      </c>
      <c r="S425" s="32" t="s">
        <v>32</v>
      </c>
      <c r="T425" s="20">
        <v>9040.26</v>
      </c>
      <c r="U425" s="20" t="s">
        <v>69</v>
      </c>
      <c r="V425" s="20" t="s">
        <v>219</v>
      </c>
      <c r="W425" s="20" t="s">
        <v>34</v>
      </c>
      <c r="X425" s="20" t="s">
        <v>220</v>
      </c>
      <c r="Y425" s="26">
        <v>52</v>
      </c>
      <c r="Z425" s="26">
        <v>27.230691162869299</v>
      </c>
      <c r="AA425" s="27" t="s">
        <v>34</v>
      </c>
      <c r="AB425" s="33">
        <v>1</v>
      </c>
      <c r="AC425" s="20">
        <v>2</v>
      </c>
      <c r="AD425" s="28">
        <v>4</v>
      </c>
    </row>
    <row r="426" spans="1:30" ht="14.55" customHeight="1" x14ac:dyDescent="0.4">
      <c r="A426" s="20">
        <v>0</v>
      </c>
      <c r="B426" s="20">
        <v>75</v>
      </c>
      <c r="C426" s="30">
        <v>56</v>
      </c>
      <c r="D426" s="20" t="s">
        <v>38</v>
      </c>
      <c r="E426" s="20">
        <v>0</v>
      </c>
      <c r="F426" s="20">
        <v>0</v>
      </c>
      <c r="G426" s="20">
        <v>1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31">
        <v>44428</v>
      </c>
      <c r="O426" s="31">
        <v>44442</v>
      </c>
      <c r="P426" s="24">
        <f t="shared" si="6"/>
        <v>15</v>
      </c>
      <c r="Q426" s="32" t="s">
        <v>31</v>
      </c>
      <c r="R426" s="32" t="s">
        <v>31</v>
      </c>
      <c r="S426" s="32" t="s">
        <v>32</v>
      </c>
      <c r="T426" s="20">
        <v>16980.96</v>
      </c>
      <c r="U426" s="20" t="s">
        <v>36</v>
      </c>
      <c r="V426" s="20" t="s">
        <v>221</v>
      </c>
      <c r="W426" s="20" t="s">
        <v>34</v>
      </c>
      <c r="X426" s="20" t="s">
        <v>222</v>
      </c>
      <c r="Y426" s="26">
        <v>47</v>
      </c>
      <c r="Z426" s="26">
        <v>27.264393722638498</v>
      </c>
      <c r="AA426" s="27" t="s">
        <v>34</v>
      </c>
      <c r="AB426" s="33">
        <v>1</v>
      </c>
      <c r="AC426" s="20">
        <v>1</v>
      </c>
      <c r="AD426" s="28">
        <v>5</v>
      </c>
    </row>
    <row r="427" spans="1:30" ht="14.55" customHeight="1" x14ac:dyDescent="0.4">
      <c r="A427" s="20">
        <v>0</v>
      </c>
      <c r="B427" s="20">
        <v>76</v>
      </c>
      <c r="C427" s="30">
        <v>55</v>
      </c>
      <c r="D427" s="20" t="s">
        <v>30</v>
      </c>
      <c r="E427" s="20">
        <v>0</v>
      </c>
      <c r="F427" s="20">
        <v>0</v>
      </c>
      <c r="G427" s="20">
        <v>0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>
        <v>0</v>
      </c>
      <c r="N427" s="31">
        <v>44435</v>
      </c>
      <c r="O427" s="31">
        <v>44447</v>
      </c>
      <c r="P427" s="24">
        <f t="shared" si="6"/>
        <v>13</v>
      </c>
      <c r="Q427" s="32" t="s">
        <v>31</v>
      </c>
      <c r="R427" s="32" t="s">
        <v>31</v>
      </c>
      <c r="S427" s="32" t="s">
        <v>32</v>
      </c>
      <c r="T427" s="26">
        <v>12341.8</v>
      </c>
      <c r="U427" s="20" t="s">
        <v>33</v>
      </c>
      <c r="V427" s="20" t="s">
        <v>223</v>
      </c>
      <c r="W427" s="20" t="s">
        <v>34</v>
      </c>
      <c r="X427" s="20" t="s">
        <v>224</v>
      </c>
      <c r="Y427" s="26">
        <v>68</v>
      </c>
      <c r="Z427" s="26">
        <v>24.7085892837495</v>
      </c>
      <c r="AA427" s="27" t="s">
        <v>34</v>
      </c>
      <c r="AB427" s="33">
        <v>1</v>
      </c>
      <c r="AC427" s="20">
        <v>3</v>
      </c>
      <c r="AD427" s="28">
        <v>1</v>
      </c>
    </row>
    <row r="428" spans="1:30" ht="14.55" customHeight="1" x14ac:dyDescent="0.4">
      <c r="A428" s="20">
        <v>0</v>
      </c>
      <c r="B428" s="20">
        <v>77</v>
      </c>
      <c r="C428" s="30">
        <v>55</v>
      </c>
      <c r="D428" s="20" t="s">
        <v>38</v>
      </c>
      <c r="E428" s="20">
        <v>0</v>
      </c>
      <c r="F428" s="20">
        <v>0</v>
      </c>
      <c r="G428" s="20">
        <v>0</v>
      </c>
      <c r="H428" s="20">
        <v>0</v>
      </c>
      <c r="I428" s="20">
        <v>0</v>
      </c>
      <c r="J428" s="20">
        <v>0</v>
      </c>
      <c r="K428" s="20">
        <v>0</v>
      </c>
      <c r="L428" s="20">
        <v>0</v>
      </c>
      <c r="M428" s="20">
        <v>0</v>
      </c>
      <c r="N428" s="31">
        <v>44432</v>
      </c>
      <c r="O428" s="31">
        <v>44439</v>
      </c>
      <c r="P428" s="24">
        <f t="shared" si="6"/>
        <v>8</v>
      </c>
      <c r="Q428" s="32" t="s">
        <v>31</v>
      </c>
      <c r="R428" s="32" t="s">
        <v>31</v>
      </c>
      <c r="S428" s="32" t="s">
        <v>32</v>
      </c>
      <c r="T428" s="20">
        <v>8375.99</v>
      </c>
      <c r="U428" s="20" t="s">
        <v>36</v>
      </c>
      <c r="V428" s="20" t="s">
        <v>225</v>
      </c>
      <c r="W428" s="20" t="s">
        <v>34</v>
      </c>
      <c r="X428" s="20" t="s">
        <v>226</v>
      </c>
      <c r="Y428" s="26">
        <v>49</v>
      </c>
      <c r="Z428" s="26">
        <v>26.4356352351606</v>
      </c>
      <c r="AA428" s="27" t="s">
        <v>34</v>
      </c>
      <c r="AB428" s="33">
        <v>1</v>
      </c>
      <c r="AC428" s="20">
        <v>1</v>
      </c>
      <c r="AD428" s="28">
        <v>4</v>
      </c>
    </row>
    <row r="429" spans="1:30" ht="14.55" customHeight="1" x14ac:dyDescent="0.4">
      <c r="A429" s="20">
        <v>0</v>
      </c>
      <c r="B429" s="20">
        <v>78</v>
      </c>
      <c r="C429" s="30">
        <v>59</v>
      </c>
      <c r="D429" s="20" t="s">
        <v>30</v>
      </c>
      <c r="E429" s="20">
        <v>0</v>
      </c>
      <c r="F429" s="20">
        <v>1</v>
      </c>
      <c r="G429" s="20">
        <v>1</v>
      </c>
      <c r="H429" s="20">
        <v>0</v>
      </c>
      <c r="I429" s="20">
        <v>0</v>
      </c>
      <c r="J429" s="20">
        <v>0</v>
      </c>
      <c r="K429" s="20">
        <v>0</v>
      </c>
      <c r="L429" s="20">
        <v>0</v>
      </c>
      <c r="M429" s="20">
        <v>0</v>
      </c>
      <c r="N429" s="31">
        <v>44437</v>
      </c>
      <c r="O429" s="31">
        <v>44468</v>
      </c>
      <c r="P429" s="24">
        <f t="shared" si="6"/>
        <v>32</v>
      </c>
      <c r="Q429" s="32" t="s">
        <v>227</v>
      </c>
      <c r="R429" s="32" t="s">
        <v>31</v>
      </c>
      <c r="S429" s="32" t="s">
        <v>143</v>
      </c>
      <c r="T429" s="20">
        <v>128869.73</v>
      </c>
      <c r="U429" s="20" t="s">
        <v>36</v>
      </c>
      <c r="V429" s="20" t="s">
        <v>228</v>
      </c>
      <c r="W429" s="20" t="s">
        <v>34</v>
      </c>
      <c r="X429" s="20" t="s">
        <v>229</v>
      </c>
      <c r="Y429" s="26">
        <v>49</v>
      </c>
      <c r="Z429" s="26">
        <v>27.373349176719799</v>
      </c>
      <c r="AA429" s="27" t="s">
        <v>34</v>
      </c>
      <c r="AB429" s="33">
        <v>1</v>
      </c>
      <c r="AC429" s="20">
        <v>1</v>
      </c>
      <c r="AD429" s="28">
        <v>17</v>
      </c>
    </row>
    <row r="430" spans="1:30" ht="14.55" customHeight="1" x14ac:dyDescent="0.4">
      <c r="A430" s="20">
        <v>0</v>
      </c>
      <c r="B430" s="20">
        <v>79</v>
      </c>
      <c r="C430" s="30">
        <v>67</v>
      </c>
      <c r="D430" s="20" t="s">
        <v>30</v>
      </c>
      <c r="E430" s="20">
        <v>0</v>
      </c>
      <c r="F430" s="20">
        <v>1</v>
      </c>
      <c r="G430" s="20">
        <v>0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  <c r="M430" s="20">
        <v>0</v>
      </c>
      <c r="N430" s="31">
        <v>44459</v>
      </c>
      <c r="O430" s="31">
        <v>44468</v>
      </c>
      <c r="P430" s="24">
        <f t="shared" si="6"/>
        <v>10</v>
      </c>
      <c r="Q430" s="32" t="s">
        <v>31</v>
      </c>
      <c r="R430" s="32" t="s">
        <v>31</v>
      </c>
      <c r="S430" s="32" t="s">
        <v>32</v>
      </c>
      <c r="T430" s="26">
        <v>10618.5</v>
      </c>
      <c r="U430" s="20" t="s">
        <v>40</v>
      </c>
      <c r="V430" s="20" t="s">
        <v>230</v>
      </c>
      <c r="W430" s="20" t="s">
        <v>34</v>
      </c>
      <c r="X430" s="20" t="s">
        <v>231</v>
      </c>
      <c r="Y430" s="26">
        <v>43</v>
      </c>
      <c r="Z430" s="26">
        <v>24.990158963017201</v>
      </c>
      <c r="AA430" s="27" t="s">
        <v>34</v>
      </c>
      <c r="AB430" s="33">
        <v>1</v>
      </c>
      <c r="AC430" s="20">
        <v>1</v>
      </c>
      <c r="AD430" s="28">
        <v>7</v>
      </c>
    </row>
    <row r="431" spans="1:30" ht="14.55" customHeight="1" x14ac:dyDescent="0.4">
      <c r="A431" s="20">
        <v>0</v>
      </c>
      <c r="B431" s="20">
        <v>80</v>
      </c>
      <c r="C431" s="30">
        <v>55</v>
      </c>
      <c r="D431" s="20" t="s">
        <v>38</v>
      </c>
      <c r="E431" s="20">
        <v>0</v>
      </c>
      <c r="F431" s="20">
        <v>1</v>
      </c>
      <c r="G431" s="20">
        <v>0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>
        <v>0</v>
      </c>
      <c r="N431" s="31">
        <v>44459</v>
      </c>
      <c r="O431" s="31">
        <v>44468</v>
      </c>
      <c r="P431" s="24">
        <f t="shared" si="6"/>
        <v>10</v>
      </c>
      <c r="Q431" s="32" t="s">
        <v>31</v>
      </c>
      <c r="R431" s="32" t="s">
        <v>31</v>
      </c>
      <c r="S431" s="32" t="s">
        <v>32</v>
      </c>
      <c r="T431" s="20">
        <v>9938.32</v>
      </c>
      <c r="U431" s="20" t="s">
        <v>33</v>
      </c>
      <c r="V431" s="20" t="s">
        <v>232</v>
      </c>
      <c r="W431" s="20" t="s">
        <v>34</v>
      </c>
      <c r="X431" s="20" t="s">
        <v>233</v>
      </c>
      <c r="Y431" s="26">
        <v>42</v>
      </c>
      <c r="Z431" s="26">
        <v>25.2233990617096</v>
      </c>
      <c r="AA431" s="27" t="s">
        <v>34</v>
      </c>
      <c r="AB431" s="33">
        <v>1</v>
      </c>
      <c r="AC431" s="20">
        <v>1</v>
      </c>
      <c r="AD431" s="28">
        <v>8</v>
      </c>
    </row>
    <row r="432" spans="1:30" ht="14.55" customHeight="1" x14ac:dyDescent="0.4">
      <c r="A432" s="20">
        <v>0</v>
      </c>
      <c r="B432" s="20">
        <v>81</v>
      </c>
      <c r="C432" s="30">
        <v>59</v>
      </c>
      <c r="D432" s="20" t="s">
        <v>38</v>
      </c>
      <c r="E432" s="20">
        <v>0</v>
      </c>
      <c r="F432" s="20">
        <v>0</v>
      </c>
      <c r="G432" s="20">
        <v>0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>
        <v>0</v>
      </c>
      <c r="N432" s="31">
        <v>44459</v>
      </c>
      <c r="O432" s="31">
        <v>44469</v>
      </c>
      <c r="P432" s="24">
        <f t="shared" si="6"/>
        <v>11</v>
      </c>
      <c r="Q432" s="32" t="s">
        <v>31</v>
      </c>
      <c r="R432" s="32" t="s">
        <v>31</v>
      </c>
      <c r="S432" s="32" t="s">
        <v>32</v>
      </c>
      <c r="T432" s="20">
        <v>29224.12</v>
      </c>
      <c r="U432" s="20" t="s">
        <v>40</v>
      </c>
      <c r="V432" s="20" t="s">
        <v>234</v>
      </c>
      <c r="W432" s="20" t="s">
        <v>235</v>
      </c>
      <c r="X432" s="20" t="s">
        <v>236</v>
      </c>
      <c r="Y432" s="26">
        <v>456</v>
      </c>
      <c r="Z432" s="26">
        <v>24.725470000000001</v>
      </c>
      <c r="AA432" s="27">
        <v>1</v>
      </c>
      <c r="AB432" s="33">
        <v>1</v>
      </c>
      <c r="AC432" s="20">
        <v>2</v>
      </c>
      <c r="AD432" s="28">
        <v>11</v>
      </c>
    </row>
    <row r="433" spans="1:30" ht="14.55" customHeight="1" x14ac:dyDescent="0.4">
      <c r="A433" s="20">
        <v>0</v>
      </c>
      <c r="B433" s="20">
        <v>82</v>
      </c>
      <c r="C433" s="30">
        <v>57</v>
      </c>
      <c r="D433" s="20" t="s">
        <v>38</v>
      </c>
      <c r="E433" s="20">
        <v>0</v>
      </c>
      <c r="F433" s="20">
        <v>1</v>
      </c>
      <c r="G433" s="20">
        <v>0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  <c r="M433" s="20">
        <v>0</v>
      </c>
      <c r="N433" s="31">
        <v>44469</v>
      </c>
      <c r="O433" s="31">
        <v>44477</v>
      </c>
      <c r="P433" s="24">
        <f t="shared" si="6"/>
        <v>9</v>
      </c>
      <c r="Q433" s="32" t="s">
        <v>31</v>
      </c>
      <c r="R433" s="32" t="s">
        <v>31</v>
      </c>
      <c r="S433" s="32" t="s">
        <v>32</v>
      </c>
      <c r="T433" s="20">
        <v>8021.45</v>
      </c>
      <c r="U433" s="20" t="s">
        <v>40</v>
      </c>
      <c r="V433" s="20" t="s">
        <v>237</v>
      </c>
      <c r="W433" s="20" t="s">
        <v>34</v>
      </c>
      <c r="X433" s="20" t="s">
        <v>238</v>
      </c>
      <c r="Y433" s="26">
        <v>47</v>
      </c>
      <c r="Z433" s="26">
        <v>24.204511227086201</v>
      </c>
      <c r="AA433" s="27" t="s">
        <v>34</v>
      </c>
      <c r="AB433" s="33">
        <v>0</v>
      </c>
      <c r="AC433" s="20" t="s">
        <v>31</v>
      </c>
      <c r="AD433" s="28">
        <v>7</v>
      </c>
    </row>
    <row r="434" spans="1:30" ht="14.55" customHeight="1" x14ac:dyDescent="0.4">
      <c r="A434" s="20">
        <v>0</v>
      </c>
      <c r="B434" s="20">
        <v>83</v>
      </c>
      <c r="C434" s="30">
        <v>66</v>
      </c>
      <c r="D434" s="20" t="s">
        <v>38</v>
      </c>
      <c r="E434" s="20">
        <v>0</v>
      </c>
      <c r="F434" s="20">
        <v>1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</v>
      </c>
      <c r="N434" s="31">
        <v>44474</v>
      </c>
      <c r="O434" s="31">
        <v>44480</v>
      </c>
      <c r="P434" s="24">
        <f t="shared" si="6"/>
        <v>7</v>
      </c>
      <c r="Q434" s="32" t="s">
        <v>31</v>
      </c>
      <c r="R434" s="32" t="s">
        <v>31</v>
      </c>
      <c r="S434" s="32" t="s">
        <v>32</v>
      </c>
      <c r="T434" s="26">
        <v>10424.4</v>
      </c>
      <c r="U434" s="20" t="s">
        <v>36</v>
      </c>
      <c r="V434" s="20" t="s">
        <v>239</v>
      </c>
      <c r="W434" s="20" t="s">
        <v>34</v>
      </c>
      <c r="X434" s="20" t="s">
        <v>240</v>
      </c>
      <c r="Y434" s="26">
        <v>41</v>
      </c>
      <c r="Z434" s="26">
        <v>27.890498256310799</v>
      </c>
      <c r="AA434" s="27" t="s">
        <v>34</v>
      </c>
      <c r="AB434" s="33">
        <v>1</v>
      </c>
      <c r="AC434" s="20">
        <v>3</v>
      </c>
      <c r="AD434" s="28">
        <v>6</v>
      </c>
    </row>
    <row r="435" spans="1:30" ht="14.55" customHeight="1" x14ac:dyDescent="0.4">
      <c r="A435" s="20">
        <v>0</v>
      </c>
      <c r="B435" s="20">
        <v>84</v>
      </c>
      <c r="C435" s="30">
        <v>56</v>
      </c>
      <c r="D435" s="20" t="s">
        <v>38</v>
      </c>
      <c r="E435" s="20">
        <v>0</v>
      </c>
      <c r="F435" s="20">
        <v>1</v>
      </c>
      <c r="G435" s="20">
        <v>0</v>
      </c>
      <c r="H435" s="20">
        <v>0</v>
      </c>
      <c r="I435" s="20">
        <v>0</v>
      </c>
      <c r="J435" s="20">
        <v>0</v>
      </c>
      <c r="K435" s="20">
        <v>0</v>
      </c>
      <c r="L435" s="20">
        <v>0</v>
      </c>
      <c r="M435" s="20">
        <v>0</v>
      </c>
      <c r="N435" s="31">
        <v>44477</v>
      </c>
      <c r="O435" s="31">
        <v>44484</v>
      </c>
      <c r="P435" s="24">
        <f t="shared" si="6"/>
        <v>8</v>
      </c>
      <c r="Q435" s="32" t="s">
        <v>31</v>
      </c>
      <c r="R435" s="32" t="s">
        <v>31</v>
      </c>
      <c r="S435" s="32" t="s">
        <v>32</v>
      </c>
      <c r="T435" s="20">
        <v>9462.75</v>
      </c>
      <c r="U435" s="20" t="s">
        <v>69</v>
      </c>
      <c r="V435" s="20" t="s">
        <v>241</v>
      </c>
      <c r="W435" s="20" t="s">
        <v>34</v>
      </c>
      <c r="X435" s="20" t="s">
        <v>242</v>
      </c>
      <c r="Y435" s="26">
        <v>47</v>
      </c>
      <c r="Z435" s="26">
        <v>25.263307316228701</v>
      </c>
      <c r="AA435" s="27" t="s">
        <v>34</v>
      </c>
      <c r="AB435" s="33">
        <v>1</v>
      </c>
      <c r="AC435" s="20">
        <v>1</v>
      </c>
      <c r="AD435" s="28">
        <v>6</v>
      </c>
    </row>
    <row r="436" spans="1:30" ht="14.55" customHeight="1" x14ac:dyDescent="0.4">
      <c r="A436" s="20">
        <v>0</v>
      </c>
      <c r="B436" s="20">
        <v>85</v>
      </c>
      <c r="C436" s="30">
        <v>65</v>
      </c>
      <c r="D436" s="20" t="s">
        <v>30</v>
      </c>
      <c r="E436" s="20">
        <v>0</v>
      </c>
      <c r="F436" s="20">
        <v>1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0</v>
      </c>
      <c r="M436" s="20">
        <v>0</v>
      </c>
      <c r="N436" s="31">
        <v>44482</v>
      </c>
      <c r="O436" s="31">
        <v>44491</v>
      </c>
      <c r="P436" s="24">
        <f t="shared" si="6"/>
        <v>10</v>
      </c>
      <c r="Q436" s="32" t="s">
        <v>31</v>
      </c>
      <c r="R436" s="32" t="s">
        <v>31</v>
      </c>
      <c r="S436" s="32" t="s">
        <v>32</v>
      </c>
      <c r="T436" s="20">
        <v>18072.310000000001</v>
      </c>
      <c r="U436" s="20" t="s">
        <v>69</v>
      </c>
      <c r="V436" s="20" t="s">
        <v>243</v>
      </c>
      <c r="W436" s="20" t="s">
        <v>206</v>
      </c>
      <c r="X436" s="20" t="s">
        <v>244</v>
      </c>
      <c r="Y436" s="26">
        <v>96</v>
      </c>
      <c r="Z436" s="26">
        <v>27.01924</v>
      </c>
      <c r="AA436" s="27">
        <v>1</v>
      </c>
      <c r="AB436" s="33">
        <v>1</v>
      </c>
      <c r="AC436" s="20">
        <v>1</v>
      </c>
      <c r="AD436" s="28">
        <v>9</v>
      </c>
    </row>
    <row r="437" spans="1:30" ht="14.55" customHeight="1" x14ac:dyDescent="0.4">
      <c r="A437" s="20">
        <v>0</v>
      </c>
      <c r="B437" s="20">
        <v>86</v>
      </c>
      <c r="C437" s="30">
        <v>68</v>
      </c>
      <c r="D437" s="20" t="s">
        <v>30</v>
      </c>
      <c r="E437" s="20">
        <v>0</v>
      </c>
      <c r="F437" s="20">
        <v>0</v>
      </c>
      <c r="G437" s="20">
        <v>0</v>
      </c>
      <c r="H437" s="20">
        <v>0</v>
      </c>
      <c r="I437" s="20">
        <v>0</v>
      </c>
      <c r="J437" s="20">
        <v>0</v>
      </c>
      <c r="K437" s="20">
        <v>0</v>
      </c>
      <c r="L437" s="20">
        <v>0</v>
      </c>
      <c r="M437" s="20">
        <v>0</v>
      </c>
      <c r="N437" s="31">
        <v>44502</v>
      </c>
      <c r="O437" s="31">
        <v>44529</v>
      </c>
      <c r="P437" s="24">
        <f t="shared" si="6"/>
        <v>28</v>
      </c>
      <c r="Q437" s="32" t="s">
        <v>31</v>
      </c>
      <c r="R437" s="32" t="s">
        <v>31</v>
      </c>
      <c r="S437" s="32" t="s">
        <v>32</v>
      </c>
      <c r="T437" s="20">
        <v>66418.62</v>
      </c>
      <c r="U437" s="20" t="s">
        <v>69</v>
      </c>
      <c r="V437" s="20" t="s">
        <v>245</v>
      </c>
      <c r="W437" s="20" t="s">
        <v>246</v>
      </c>
      <c r="X437" s="20" t="s">
        <v>247</v>
      </c>
      <c r="Y437" s="26">
        <v>216</v>
      </c>
      <c r="Z437" s="26">
        <v>27.777239999999999</v>
      </c>
      <c r="AA437" s="27">
        <v>1</v>
      </c>
      <c r="AB437" s="33">
        <v>1</v>
      </c>
      <c r="AC437" s="20">
        <v>1</v>
      </c>
      <c r="AD437" s="28">
        <v>16</v>
      </c>
    </row>
    <row r="438" spans="1:30" ht="14.55" customHeight="1" x14ac:dyDescent="0.4">
      <c r="A438" s="20">
        <v>0</v>
      </c>
      <c r="B438" s="20">
        <v>87</v>
      </c>
      <c r="C438" s="30">
        <v>58</v>
      </c>
      <c r="D438" s="20" t="s">
        <v>38</v>
      </c>
      <c r="E438" s="20">
        <v>0</v>
      </c>
      <c r="F438" s="20">
        <v>1</v>
      </c>
      <c r="G438" s="20">
        <v>0</v>
      </c>
      <c r="H438" s="20">
        <v>1</v>
      </c>
      <c r="I438" s="20">
        <v>0</v>
      </c>
      <c r="J438" s="20">
        <v>0</v>
      </c>
      <c r="K438" s="20">
        <v>0</v>
      </c>
      <c r="L438" s="20">
        <v>0</v>
      </c>
      <c r="M438" s="20">
        <v>0</v>
      </c>
      <c r="N438" s="31">
        <v>44511</v>
      </c>
      <c r="O438" s="31">
        <v>44526</v>
      </c>
      <c r="P438" s="24">
        <f t="shared" si="6"/>
        <v>16</v>
      </c>
      <c r="Q438" s="32" t="s">
        <v>31</v>
      </c>
      <c r="R438" s="32" t="s">
        <v>31</v>
      </c>
      <c r="S438" s="32" t="s">
        <v>32</v>
      </c>
      <c r="T438" s="20">
        <v>25661.03</v>
      </c>
      <c r="U438" s="20" t="s">
        <v>69</v>
      </c>
      <c r="V438" s="20" t="s">
        <v>248</v>
      </c>
      <c r="W438" s="20" t="s">
        <v>34</v>
      </c>
      <c r="X438" s="20" t="s">
        <v>249</v>
      </c>
      <c r="Y438" s="26">
        <v>49</v>
      </c>
      <c r="Z438" s="26">
        <v>24.428931037895399</v>
      </c>
      <c r="AA438" s="27" t="s">
        <v>34</v>
      </c>
      <c r="AB438" s="33">
        <v>1</v>
      </c>
      <c r="AC438" s="20">
        <v>1</v>
      </c>
      <c r="AD438" s="28">
        <v>7</v>
      </c>
    </row>
    <row r="439" spans="1:30" ht="14.55" customHeight="1" x14ac:dyDescent="0.4">
      <c r="A439" s="20">
        <v>0</v>
      </c>
      <c r="B439" s="20">
        <v>88</v>
      </c>
      <c r="C439" s="30">
        <v>61</v>
      </c>
      <c r="D439" s="20" t="s">
        <v>30</v>
      </c>
      <c r="E439" s="20">
        <v>0</v>
      </c>
      <c r="F439" s="20">
        <v>0</v>
      </c>
      <c r="G439" s="20">
        <v>0</v>
      </c>
      <c r="H439" s="20">
        <v>0</v>
      </c>
      <c r="I439" s="20">
        <v>0</v>
      </c>
      <c r="J439" s="20">
        <v>0</v>
      </c>
      <c r="K439" s="20">
        <v>0</v>
      </c>
      <c r="L439" s="20">
        <v>0</v>
      </c>
      <c r="M439" s="20">
        <v>0</v>
      </c>
      <c r="N439" s="31">
        <v>44530</v>
      </c>
      <c r="O439" s="31">
        <v>44536</v>
      </c>
      <c r="P439" s="24">
        <f t="shared" si="6"/>
        <v>7</v>
      </c>
      <c r="Q439" s="32" t="s">
        <v>31</v>
      </c>
      <c r="R439" s="32" t="s">
        <v>31</v>
      </c>
      <c r="S439" s="32" t="s">
        <v>32</v>
      </c>
      <c r="T439" s="20">
        <v>7837.52</v>
      </c>
      <c r="U439" s="20" t="s">
        <v>36</v>
      </c>
      <c r="V439" s="20" t="s">
        <v>250</v>
      </c>
      <c r="W439" s="20" t="s">
        <v>34</v>
      </c>
      <c r="X439" s="20" t="s">
        <v>251</v>
      </c>
      <c r="Y439" s="26">
        <v>48</v>
      </c>
      <c r="Z439" s="26">
        <v>25.258255799301001</v>
      </c>
      <c r="AA439" s="27" t="s">
        <v>34</v>
      </c>
      <c r="AB439" s="33">
        <v>1</v>
      </c>
      <c r="AC439" s="20">
        <v>2</v>
      </c>
      <c r="AD439" s="28">
        <v>3</v>
      </c>
    </row>
    <row r="440" spans="1:30" ht="14.55" customHeight="1" x14ac:dyDescent="0.4">
      <c r="A440" s="20">
        <v>0</v>
      </c>
      <c r="B440" s="20">
        <v>89</v>
      </c>
      <c r="C440" s="30">
        <v>56</v>
      </c>
      <c r="D440" s="20" t="s">
        <v>30</v>
      </c>
      <c r="E440" s="20">
        <v>0</v>
      </c>
      <c r="F440" s="20">
        <v>1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31">
        <v>44536</v>
      </c>
      <c r="O440" s="31">
        <v>44540</v>
      </c>
      <c r="P440" s="24">
        <f t="shared" si="6"/>
        <v>5</v>
      </c>
      <c r="Q440" s="32" t="s">
        <v>31</v>
      </c>
      <c r="R440" s="32" t="s">
        <v>31</v>
      </c>
      <c r="S440" s="32" t="s">
        <v>32</v>
      </c>
      <c r="T440" s="20">
        <v>6759.28</v>
      </c>
      <c r="U440" s="20" t="s">
        <v>33</v>
      </c>
      <c r="V440" s="20" t="s">
        <v>252</v>
      </c>
      <c r="W440" s="20" t="s">
        <v>34</v>
      </c>
      <c r="X440" s="20" t="s">
        <v>253</v>
      </c>
      <c r="Y440" s="26">
        <v>240</v>
      </c>
      <c r="Z440" s="26">
        <v>24.675163063220701</v>
      </c>
      <c r="AA440" s="27" t="s">
        <v>34</v>
      </c>
      <c r="AB440" s="33">
        <v>1</v>
      </c>
      <c r="AC440" s="20">
        <v>1</v>
      </c>
      <c r="AD440" s="28">
        <v>3</v>
      </c>
    </row>
    <row r="441" spans="1:30" ht="14.55" customHeight="1" x14ac:dyDescent="0.4">
      <c r="A441" s="20">
        <v>0</v>
      </c>
      <c r="B441" s="20">
        <v>90</v>
      </c>
      <c r="C441" s="30">
        <v>65</v>
      </c>
      <c r="D441" s="20" t="s">
        <v>38</v>
      </c>
      <c r="E441" s="20">
        <v>1</v>
      </c>
      <c r="F441" s="20">
        <v>0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  <c r="N441" s="31">
        <v>44531</v>
      </c>
      <c r="O441" s="31">
        <v>44542</v>
      </c>
      <c r="P441" s="24">
        <f t="shared" si="6"/>
        <v>12</v>
      </c>
      <c r="Q441" s="32" t="s">
        <v>31</v>
      </c>
      <c r="R441" s="32" t="s">
        <v>31</v>
      </c>
      <c r="S441" s="32" t="s">
        <v>32</v>
      </c>
      <c r="T441" s="20">
        <v>13260.95</v>
      </c>
      <c r="U441" s="20" t="s">
        <v>36</v>
      </c>
      <c r="V441" s="20" t="s">
        <v>254</v>
      </c>
      <c r="W441" s="20" t="s">
        <v>34</v>
      </c>
      <c r="X441" s="20" t="s">
        <v>255</v>
      </c>
      <c r="Y441" s="26">
        <v>238</v>
      </c>
      <c r="Z441" s="26">
        <v>25.7668520649895</v>
      </c>
      <c r="AA441" s="27" t="s">
        <v>34</v>
      </c>
      <c r="AB441" s="33">
        <v>1</v>
      </c>
      <c r="AC441" s="20">
        <v>1</v>
      </c>
      <c r="AD441" s="28">
        <v>10</v>
      </c>
    </row>
    <row r="442" spans="1:30" ht="14.55" customHeight="1" x14ac:dyDescent="0.4">
      <c r="A442" s="20">
        <v>0</v>
      </c>
      <c r="B442" s="20">
        <v>91</v>
      </c>
      <c r="C442" s="30">
        <v>56</v>
      </c>
      <c r="D442" s="20" t="s">
        <v>30</v>
      </c>
      <c r="E442" s="20">
        <v>0</v>
      </c>
      <c r="F442" s="20">
        <v>1</v>
      </c>
      <c r="G442" s="20">
        <v>0</v>
      </c>
      <c r="H442" s="20">
        <v>0</v>
      </c>
      <c r="I442" s="20">
        <v>0</v>
      </c>
      <c r="J442" s="20">
        <v>1</v>
      </c>
      <c r="K442" s="20">
        <v>0</v>
      </c>
      <c r="L442" s="20">
        <v>0</v>
      </c>
      <c r="M442" s="20">
        <v>0</v>
      </c>
      <c r="N442" s="31">
        <v>44545</v>
      </c>
      <c r="O442" s="31">
        <v>44556</v>
      </c>
      <c r="P442" s="24">
        <f t="shared" si="6"/>
        <v>12</v>
      </c>
      <c r="Q442" s="32" t="s">
        <v>31</v>
      </c>
      <c r="R442" s="32" t="s">
        <v>31</v>
      </c>
      <c r="S442" s="32" t="s">
        <v>32</v>
      </c>
      <c r="T442" s="20">
        <v>11016.21</v>
      </c>
      <c r="U442" s="20" t="s">
        <v>33</v>
      </c>
      <c r="V442" s="20" t="s">
        <v>256</v>
      </c>
      <c r="W442" s="20" t="s">
        <v>34</v>
      </c>
      <c r="X442" s="20" t="s">
        <v>257</v>
      </c>
      <c r="Y442" s="26">
        <v>287</v>
      </c>
      <c r="Z442" s="26">
        <v>27.2626551073045</v>
      </c>
      <c r="AA442" s="27" t="s">
        <v>34</v>
      </c>
      <c r="AB442" s="33">
        <v>1</v>
      </c>
      <c r="AC442" s="20">
        <v>1</v>
      </c>
      <c r="AD442" s="28">
        <v>9</v>
      </c>
    </row>
    <row r="443" spans="1:30" ht="14.55" customHeight="1" x14ac:dyDescent="0.4">
      <c r="A443" s="20">
        <v>0</v>
      </c>
      <c r="B443" s="20">
        <v>92</v>
      </c>
      <c r="C443" s="30">
        <v>55</v>
      </c>
      <c r="D443" s="20" t="s">
        <v>30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</v>
      </c>
      <c r="N443" s="31">
        <v>44549</v>
      </c>
      <c r="O443" s="31">
        <v>44561</v>
      </c>
      <c r="P443" s="24">
        <f t="shared" si="6"/>
        <v>13</v>
      </c>
      <c r="Q443" s="32" t="s">
        <v>31</v>
      </c>
      <c r="R443" s="32" t="s">
        <v>31</v>
      </c>
      <c r="S443" s="32" t="s">
        <v>32</v>
      </c>
      <c r="T443" s="20">
        <v>24665.45</v>
      </c>
      <c r="U443" s="20" t="s">
        <v>36</v>
      </c>
      <c r="V443" s="20" t="s">
        <v>258</v>
      </c>
      <c r="W443" s="20" t="s">
        <v>206</v>
      </c>
      <c r="X443" s="20" t="s">
        <v>259</v>
      </c>
      <c r="Y443" s="26">
        <v>45</v>
      </c>
      <c r="Z443" s="26">
        <v>24.384150000000002</v>
      </c>
      <c r="AA443" s="27">
        <v>1</v>
      </c>
      <c r="AB443" s="33">
        <v>1</v>
      </c>
      <c r="AC443" s="20">
        <v>1</v>
      </c>
      <c r="AD443" s="28">
        <v>6</v>
      </c>
    </row>
    <row r="444" spans="1:30" ht="14.55" customHeight="1" x14ac:dyDescent="0.4">
      <c r="A444" s="20">
        <v>0</v>
      </c>
      <c r="B444" s="20">
        <v>93</v>
      </c>
      <c r="C444" s="30">
        <v>56</v>
      </c>
      <c r="D444" s="20" t="s">
        <v>38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31">
        <v>44553</v>
      </c>
      <c r="O444" s="31">
        <v>44558</v>
      </c>
      <c r="P444" s="24">
        <f t="shared" si="6"/>
        <v>6</v>
      </c>
      <c r="Q444" s="32" t="s">
        <v>31</v>
      </c>
      <c r="R444" s="32" t="s">
        <v>31</v>
      </c>
      <c r="S444" s="32" t="s">
        <v>32</v>
      </c>
      <c r="T444" s="20">
        <v>7346.34</v>
      </c>
      <c r="U444" s="20" t="s">
        <v>36</v>
      </c>
      <c r="V444" s="20" t="s">
        <v>260</v>
      </c>
      <c r="W444" s="20" t="s">
        <v>164</v>
      </c>
      <c r="X444" s="20" t="s">
        <v>261</v>
      </c>
      <c r="Y444" s="26">
        <v>238</v>
      </c>
      <c r="Z444" s="26">
        <v>24.236999999999998</v>
      </c>
      <c r="AA444" s="27">
        <v>1</v>
      </c>
      <c r="AB444" s="33">
        <v>1</v>
      </c>
      <c r="AC444" s="20">
        <v>1</v>
      </c>
      <c r="AD444" s="28">
        <v>5</v>
      </c>
    </row>
    <row r="445" spans="1:30" ht="14.55" customHeight="1" x14ac:dyDescent="0.4">
      <c r="A445" s="20">
        <v>0</v>
      </c>
      <c r="B445" s="20">
        <v>94</v>
      </c>
      <c r="C445" s="30">
        <v>67</v>
      </c>
      <c r="D445" s="20" t="s">
        <v>38</v>
      </c>
      <c r="E445" s="20">
        <v>1</v>
      </c>
      <c r="F445" s="20">
        <v>1</v>
      </c>
      <c r="G445" s="20">
        <v>0</v>
      </c>
      <c r="H445" s="20">
        <v>1</v>
      </c>
      <c r="I445" s="20">
        <v>1</v>
      </c>
      <c r="J445" s="20">
        <v>0</v>
      </c>
      <c r="K445" s="20">
        <v>0</v>
      </c>
      <c r="L445" s="20">
        <v>0</v>
      </c>
      <c r="M445" s="20">
        <v>0</v>
      </c>
      <c r="N445" s="31">
        <v>44557</v>
      </c>
      <c r="O445" s="31">
        <v>44566</v>
      </c>
      <c r="P445" s="24">
        <f t="shared" si="6"/>
        <v>10</v>
      </c>
      <c r="Q445" s="32" t="s">
        <v>31</v>
      </c>
      <c r="R445" s="32" t="s">
        <v>31</v>
      </c>
      <c r="S445" s="32" t="s">
        <v>32</v>
      </c>
      <c r="T445" s="20">
        <v>12498.74</v>
      </c>
      <c r="U445" s="20" t="s">
        <v>36</v>
      </c>
      <c r="V445" s="20" t="s">
        <v>262</v>
      </c>
      <c r="W445" s="20" t="s">
        <v>34</v>
      </c>
      <c r="X445" s="20" t="s">
        <v>263</v>
      </c>
      <c r="Y445" s="26">
        <v>48</v>
      </c>
      <c r="Z445" s="26">
        <v>27.633935403078802</v>
      </c>
      <c r="AA445" s="27" t="s">
        <v>34</v>
      </c>
      <c r="AB445" s="33">
        <v>1</v>
      </c>
      <c r="AC445" s="20">
        <v>1</v>
      </c>
      <c r="AD445" s="28">
        <v>5</v>
      </c>
    </row>
    <row r="446" spans="1:30" ht="14.55" customHeight="1" x14ac:dyDescent="0.4">
      <c r="A446" s="20">
        <v>0</v>
      </c>
      <c r="B446" s="20">
        <v>95</v>
      </c>
      <c r="C446" s="30">
        <v>64</v>
      </c>
      <c r="D446" s="20" t="s">
        <v>30</v>
      </c>
      <c r="E446" s="20">
        <v>0</v>
      </c>
      <c r="F446" s="20">
        <v>1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31">
        <v>44559</v>
      </c>
      <c r="O446" s="31">
        <v>44579</v>
      </c>
      <c r="P446" s="24">
        <f t="shared" si="6"/>
        <v>21</v>
      </c>
      <c r="Q446" s="32" t="s">
        <v>31</v>
      </c>
      <c r="R446" s="32" t="s">
        <v>31</v>
      </c>
      <c r="S446" s="32" t="s">
        <v>32</v>
      </c>
      <c r="T446" s="20">
        <v>46387.22</v>
      </c>
      <c r="U446" s="20" t="s">
        <v>36</v>
      </c>
      <c r="V446" s="20" t="s">
        <v>264</v>
      </c>
      <c r="W446" s="20" t="s">
        <v>94</v>
      </c>
      <c r="X446" s="20" t="s">
        <v>265</v>
      </c>
      <c r="Y446" s="26">
        <v>42</v>
      </c>
      <c r="Z446" s="26">
        <v>26.06503</v>
      </c>
      <c r="AA446" s="27">
        <v>0</v>
      </c>
      <c r="AB446" s="33">
        <v>1</v>
      </c>
      <c r="AC446" s="20">
        <v>1</v>
      </c>
      <c r="AD446" s="28">
        <v>7</v>
      </c>
    </row>
    <row r="447" spans="1:30" ht="14.55" customHeight="1" x14ac:dyDescent="0.4">
      <c r="A447" s="20">
        <v>0</v>
      </c>
      <c r="B447" s="20">
        <v>96</v>
      </c>
      <c r="C447" s="30">
        <v>64</v>
      </c>
      <c r="D447" s="20" t="s">
        <v>38</v>
      </c>
      <c r="E447" s="20">
        <v>0</v>
      </c>
      <c r="F447" s="20">
        <v>0</v>
      </c>
      <c r="G447" s="20">
        <v>0</v>
      </c>
      <c r="H447" s="20">
        <v>0</v>
      </c>
      <c r="I447" s="20">
        <v>1</v>
      </c>
      <c r="J447" s="20">
        <v>0</v>
      </c>
      <c r="K447" s="20">
        <v>0</v>
      </c>
      <c r="L447" s="20">
        <v>0</v>
      </c>
      <c r="M447" s="20">
        <v>0</v>
      </c>
      <c r="N447" s="31">
        <v>44560</v>
      </c>
      <c r="O447" s="31">
        <v>44573</v>
      </c>
      <c r="P447" s="24">
        <f t="shared" si="6"/>
        <v>14</v>
      </c>
      <c r="Q447" s="32" t="s">
        <v>31</v>
      </c>
      <c r="R447" s="32" t="s">
        <v>31</v>
      </c>
      <c r="S447" s="32" t="s">
        <v>32</v>
      </c>
      <c r="T447" s="20">
        <v>16432.810000000001</v>
      </c>
      <c r="U447" s="20" t="s">
        <v>36</v>
      </c>
      <c r="V447" s="20" t="s">
        <v>266</v>
      </c>
      <c r="W447" s="20" t="s">
        <v>34</v>
      </c>
      <c r="X447" s="20" t="s">
        <v>267</v>
      </c>
      <c r="Y447" s="26">
        <v>45</v>
      </c>
      <c r="Z447" s="26">
        <v>25.027077112346898</v>
      </c>
      <c r="AA447" s="27" t="s">
        <v>34</v>
      </c>
      <c r="AB447" s="33">
        <v>1</v>
      </c>
      <c r="AC447" s="20">
        <v>2</v>
      </c>
      <c r="AD447" s="28">
        <v>8</v>
      </c>
    </row>
    <row r="448" spans="1:30" ht="14.55" customHeight="1" x14ac:dyDescent="0.4">
      <c r="A448" s="20">
        <v>0</v>
      </c>
      <c r="B448" s="20">
        <v>97</v>
      </c>
      <c r="C448" s="30">
        <v>68</v>
      </c>
      <c r="D448" s="20" t="s">
        <v>30</v>
      </c>
      <c r="E448" s="20">
        <v>1</v>
      </c>
      <c r="F448" s="20">
        <v>1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31">
        <v>44563</v>
      </c>
      <c r="O448" s="31">
        <v>44578</v>
      </c>
      <c r="P448" s="24">
        <f t="shared" si="6"/>
        <v>16</v>
      </c>
      <c r="Q448" s="32" t="s">
        <v>31</v>
      </c>
      <c r="R448" s="32" t="s">
        <v>31</v>
      </c>
      <c r="S448" s="32" t="s">
        <v>32</v>
      </c>
      <c r="T448" s="20">
        <v>25260.42</v>
      </c>
      <c r="U448" s="20" t="s">
        <v>36</v>
      </c>
      <c r="V448" s="20" t="s">
        <v>268</v>
      </c>
      <c r="W448" s="20" t="s">
        <v>197</v>
      </c>
      <c r="X448" s="20" t="s">
        <v>269</v>
      </c>
      <c r="Y448" s="26">
        <v>93</v>
      </c>
      <c r="Z448" s="26">
        <v>27.385529999999999</v>
      </c>
      <c r="AA448" s="27">
        <v>0</v>
      </c>
      <c r="AB448" s="33">
        <v>1</v>
      </c>
      <c r="AC448" s="20">
        <v>1</v>
      </c>
      <c r="AD448" s="28">
        <v>10</v>
      </c>
    </row>
    <row r="449" spans="1:30" ht="14.55" customHeight="1" x14ac:dyDescent="0.4">
      <c r="A449" s="20">
        <v>0</v>
      </c>
      <c r="B449" s="34">
        <v>98</v>
      </c>
      <c r="C449" s="30">
        <v>64</v>
      </c>
      <c r="D449" s="20" t="s">
        <v>38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</v>
      </c>
      <c r="N449" s="31">
        <v>44551</v>
      </c>
      <c r="O449" s="31">
        <v>44585</v>
      </c>
      <c r="P449" s="24">
        <f t="shared" si="6"/>
        <v>35</v>
      </c>
      <c r="Q449" s="32" t="s">
        <v>31</v>
      </c>
      <c r="R449" s="32" t="s">
        <v>31</v>
      </c>
      <c r="S449" s="32" t="s">
        <v>32</v>
      </c>
      <c r="T449" s="20">
        <v>101705.75</v>
      </c>
      <c r="U449" s="20" t="s">
        <v>36</v>
      </c>
      <c r="V449" s="20" t="s">
        <v>270</v>
      </c>
      <c r="W449" s="20" t="s">
        <v>271</v>
      </c>
      <c r="X449" s="20" t="s">
        <v>272</v>
      </c>
      <c r="Y449" s="26">
        <v>144</v>
      </c>
      <c r="Z449" s="26">
        <v>24.396820000000002</v>
      </c>
      <c r="AA449" s="27">
        <v>1</v>
      </c>
      <c r="AB449" s="33">
        <v>1</v>
      </c>
      <c r="AC449" s="20">
        <v>1</v>
      </c>
      <c r="AD449" s="28">
        <v>23</v>
      </c>
    </row>
    <row r="450" spans="1:30" ht="14.55" customHeight="1" x14ac:dyDescent="0.4">
      <c r="A450" s="20">
        <v>0</v>
      </c>
      <c r="B450" s="20">
        <v>99</v>
      </c>
      <c r="C450" s="30">
        <v>65</v>
      </c>
      <c r="D450" s="20" t="s">
        <v>30</v>
      </c>
      <c r="E450" s="20">
        <v>0</v>
      </c>
      <c r="F450" s="20">
        <v>1</v>
      </c>
      <c r="G450" s="20">
        <v>1</v>
      </c>
      <c r="H450" s="20">
        <v>0</v>
      </c>
      <c r="I450" s="20">
        <v>1</v>
      </c>
      <c r="J450" s="20">
        <v>0</v>
      </c>
      <c r="K450" s="20">
        <v>0</v>
      </c>
      <c r="L450" s="20">
        <v>0</v>
      </c>
      <c r="M450" s="20">
        <v>0</v>
      </c>
      <c r="N450" s="31">
        <v>44567</v>
      </c>
      <c r="O450" s="31">
        <v>44576</v>
      </c>
      <c r="P450" s="24">
        <f t="shared" si="6"/>
        <v>10</v>
      </c>
      <c r="Q450" s="32" t="s">
        <v>31</v>
      </c>
      <c r="R450" s="32" t="s">
        <v>31</v>
      </c>
      <c r="S450" s="32" t="s">
        <v>32</v>
      </c>
      <c r="T450" s="20">
        <v>10682.46</v>
      </c>
      <c r="U450" s="20" t="s">
        <v>40</v>
      </c>
      <c r="V450" s="20" t="s">
        <v>273</v>
      </c>
      <c r="W450" s="20" t="s">
        <v>34</v>
      </c>
      <c r="X450" s="20" t="s">
        <v>274</v>
      </c>
      <c r="Y450" s="26">
        <v>239</v>
      </c>
      <c r="Z450" s="26">
        <v>24.5499615622684</v>
      </c>
      <c r="AA450" s="27" t="s">
        <v>34</v>
      </c>
      <c r="AB450" s="33">
        <v>1</v>
      </c>
      <c r="AC450" s="20">
        <v>1</v>
      </c>
      <c r="AD450" s="28">
        <v>7</v>
      </c>
    </row>
    <row r="451" spans="1:30" ht="14.55" customHeight="1" x14ac:dyDescent="0.4">
      <c r="A451" s="20">
        <v>0</v>
      </c>
      <c r="B451" s="20">
        <v>100</v>
      </c>
      <c r="C451" s="30">
        <v>60</v>
      </c>
      <c r="D451" s="20" t="s">
        <v>30</v>
      </c>
      <c r="E451" s="20">
        <v>1</v>
      </c>
      <c r="F451" s="20">
        <v>1</v>
      </c>
      <c r="G451" s="20">
        <v>0</v>
      </c>
      <c r="H451" s="20">
        <v>0</v>
      </c>
      <c r="I451" s="20">
        <v>0</v>
      </c>
      <c r="J451" s="20">
        <v>1</v>
      </c>
      <c r="K451" s="20">
        <v>0</v>
      </c>
      <c r="L451" s="20">
        <v>0</v>
      </c>
      <c r="M451" s="20">
        <v>0</v>
      </c>
      <c r="N451" s="31">
        <v>44572</v>
      </c>
      <c r="O451" s="31">
        <v>44579</v>
      </c>
      <c r="P451" s="24">
        <f t="shared" ref="P451:P514" si="7">O451-N451+1</f>
        <v>8</v>
      </c>
      <c r="Q451" s="32" t="s">
        <v>31</v>
      </c>
      <c r="R451" s="32" t="s">
        <v>31</v>
      </c>
      <c r="S451" s="32" t="s">
        <v>32</v>
      </c>
      <c r="T451" s="20">
        <v>5168.1499999999996</v>
      </c>
      <c r="U451" s="20" t="s">
        <v>40</v>
      </c>
      <c r="V451" s="20" t="s">
        <v>275</v>
      </c>
      <c r="W451" s="20" t="s">
        <v>34</v>
      </c>
      <c r="X451" s="20" t="s">
        <v>276</v>
      </c>
      <c r="Y451" s="26">
        <v>49</v>
      </c>
      <c r="Z451" s="26">
        <v>24.946137712337102</v>
      </c>
      <c r="AA451" s="27" t="s">
        <v>34</v>
      </c>
      <c r="AB451" s="33">
        <v>1</v>
      </c>
      <c r="AC451" s="20">
        <v>1</v>
      </c>
      <c r="AD451" s="28">
        <v>4</v>
      </c>
    </row>
    <row r="452" spans="1:30" ht="14.55" customHeight="1" x14ac:dyDescent="0.4">
      <c r="A452" s="20">
        <v>0</v>
      </c>
      <c r="B452" s="20">
        <v>101</v>
      </c>
      <c r="C452" s="30">
        <v>67</v>
      </c>
      <c r="D452" s="20" t="s">
        <v>30</v>
      </c>
      <c r="E452" s="20">
        <v>0</v>
      </c>
      <c r="F452" s="20">
        <v>0</v>
      </c>
      <c r="G452" s="20">
        <v>0</v>
      </c>
      <c r="H452" s="20">
        <v>1</v>
      </c>
      <c r="I452" s="20">
        <v>0</v>
      </c>
      <c r="J452" s="20">
        <v>0</v>
      </c>
      <c r="K452" s="20">
        <v>0</v>
      </c>
      <c r="L452" s="20">
        <v>0</v>
      </c>
      <c r="M452" s="20">
        <v>0</v>
      </c>
      <c r="N452" s="31">
        <v>44559</v>
      </c>
      <c r="O452" s="31">
        <v>44587</v>
      </c>
      <c r="P452" s="24">
        <f t="shared" si="7"/>
        <v>29</v>
      </c>
      <c r="Q452" s="32" t="s">
        <v>31</v>
      </c>
      <c r="R452" s="32" t="s">
        <v>31</v>
      </c>
      <c r="S452" s="32" t="s">
        <v>32</v>
      </c>
      <c r="T452" s="20">
        <v>18907.810000000001</v>
      </c>
      <c r="U452" s="20" t="s">
        <v>36</v>
      </c>
      <c r="V452" s="20" t="s">
        <v>277</v>
      </c>
      <c r="W452" s="20" t="s">
        <v>34</v>
      </c>
      <c r="X452" s="20" t="s">
        <v>278</v>
      </c>
      <c r="Y452" s="26">
        <v>238</v>
      </c>
      <c r="Z452" s="26">
        <v>27.297890854999402</v>
      </c>
      <c r="AA452" s="27" t="s">
        <v>34</v>
      </c>
      <c r="AB452" s="33">
        <v>1</v>
      </c>
      <c r="AC452" s="20">
        <v>1</v>
      </c>
      <c r="AD452" s="28">
        <v>22</v>
      </c>
    </row>
    <row r="453" spans="1:30" ht="14.55" customHeight="1" x14ac:dyDescent="0.4">
      <c r="A453" s="20">
        <v>0</v>
      </c>
      <c r="B453" s="20">
        <v>102</v>
      </c>
      <c r="C453" s="30">
        <v>55</v>
      </c>
      <c r="D453" s="20" t="s">
        <v>30</v>
      </c>
      <c r="E453" s="20">
        <v>0</v>
      </c>
      <c r="F453" s="20">
        <v>1</v>
      </c>
      <c r="G453" s="20">
        <v>0</v>
      </c>
      <c r="H453" s="20">
        <v>0</v>
      </c>
      <c r="I453" s="20">
        <v>0</v>
      </c>
      <c r="J453" s="20">
        <v>0</v>
      </c>
      <c r="K453" s="20">
        <v>0</v>
      </c>
      <c r="L453" s="20">
        <v>0</v>
      </c>
      <c r="M453" s="20">
        <v>0</v>
      </c>
      <c r="N453" s="31">
        <v>44587</v>
      </c>
      <c r="O453" s="31">
        <v>44606</v>
      </c>
      <c r="P453" s="24">
        <f t="shared" si="7"/>
        <v>20</v>
      </c>
      <c r="Q453" s="32" t="s">
        <v>31</v>
      </c>
      <c r="R453" s="32" t="s">
        <v>31</v>
      </c>
      <c r="S453" s="32" t="s">
        <v>32</v>
      </c>
      <c r="T453" s="20">
        <v>15435.16</v>
      </c>
      <c r="U453" s="20" t="s">
        <v>69</v>
      </c>
      <c r="V453" s="20" t="s">
        <v>279</v>
      </c>
      <c r="W453" s="20" t="s">
        <v>34</v>
      </c>
      <c r="X453" s="20" t="s">
        <v>280</v>
      </c>
      <c r="Y453" s="26">
        <v>261</v>
      </c>
      <c r="Z453" s="26">
        <v>24.577881182543901</v>
      </c>
      <c r="AA453" s="27" t="s">
        <v>34</v>
      </c>
      <c r="AB453" s="33">
        <v>1</v>
      </c>
      <c r="AC453" s="20">
        <v>1</v>
      </c>
      <c r="AD453" s="28">
        <v>3</v>
      </c>
    </row>
    <row r="454" spans="1:30" ht="14.55" customHeight="1" x14ac:dyDescent="0.4">
      <c r="A454" s="20">
        <v>0</v>
      </c>
      <c r="B454" s="20">
        <v>103</v>
      </c>
      <c r="C454" s="30">
        <v>59</v>
      </c>
      <c r="D454" s="20" t="s">
        <v>38</v>
      </c>
      <c r="E454" s="20">
        <v>1</v>
      </c>
      <c r="F454" s="20">
        <v>0</v>
      </c>
      <c r="G454" s="20">
        <v>0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0</v>
      </c>
      <c r="N454" s="31">
        <v>44589</v>
      </c>
      <c r="O454" s="31">
        <v>44592</v>
      </c>
      <c r="P454" s="24">
        <f t="shared" si="7"/>
        <v>4</v>
      </c>
      <c r="Q454" s="32" t="s">
        <v>31</v>
      </c>
      <c r="R454" s="32" t="s">
        <v>31</v>
      </c>
      <c r="S454" s="32" t="s">
        <v>32</v>
      </c>
      <c r="T454" s="26">
        <v>10280.5</v>
      </c>
      <c r="U454" s="20" t="s">
        <v>36</v>
      </c>
      <c r="V454" s="20" t="s">
        <v>281</v>
      </c>
      <c r="W454" s="20" t="s">
        <v>34</v>
      </c>
      <c r="X454" s="20" t="s">
        <v>282</v>
      </c>
      <c r="Y454" s="26">
        <v>49</v>
      </c>
      <c r="Z454" s="26">
        <v>25.999675163067899</v>
      </c>
      <c r="AA454" s="27" t="s">
        <v>34</v>
      </c>
      <c r="AB454" s="33">
        <v>1</v>
      </c>
      <c r="AC454" s="20">
        <v>1</v>
      </c>
      <c r="AD454" s="28">
        <v>3</v>
      </c>
    </row>
    <row r="455" spans="1:30" ht="14.55" customHeight="1" x14ac:dyDescent="0.4">
      <c r="A455" s="20">
        <v>0</v>
      </c>
      <c r="B455" s="20">
        <v>104</v>
      </c>
      <c r="C455" s="30">
        <v>67</v>
      </c>
      <c r="D455" s="20" t="s">
        <v>30</v>
      </c>
      <c r="E455" s="20">
        <v>0</v>
      </c>
      <c r="F455" s="20">
        <v>0</v>
      </c>
      <c r="G455" s="20">
        <v>0</v>
      </c>
      <c r="H455" s="20">
        <v>0</v>
      </c>
      <c r="I455" s="20">
        <v>0</v>
      </c>
      <c r="J455" s="20">
        <v>0</v>
      </c>
      <c r="K455" s="20">
        <v>0</v>
      </c>
      <c r="L455" s="20">
        <v>0</v>
      </c>
      <c r="M455" s="20">
        <v>0</v>
      </c>
      <c r="N455" s="31">
        <v>44599</v>
      </c>
      <c r="O455" s="31">
        <v>44605</v>
      </c>
      <c r="P455" s="24">
        <f t="shared" si="7"/>
        <v>7</v>
      </c>
      <c r="Q455" s="32" t="s">
        <v>31</v>
      </c>
      <c r="R455" s="32" t="s">
        <v>31</v>
      </c>
      <c r="S455" s="32" t="s">
        <v>32</v>
      </c>
      <c r="T455" s="20">
        <v>8908.84</v>
      </c>
      <c r="U455" s="20" t="s">
        <v>36</v>
      </c>
      <c r="V455" s="20" t="s">
        <v>283</v>
      </c>
      <c r="W455" s="20" t="s">
        <v>34</v>
      </c>
      <c r="X455" s="20" t="s">
        <v>284</v>
      </c>
      <c r="Y455" s="26">
        <v>211</v>
      </c>
      <c r="Z455" s="26">
        <v>26.727710581384599</v>
      </c>
      <c r="AA455" s="27" t="s">
        <v>34</v>
      </c>
      <c r="AB455" s="33">
        <v>1</v>
      </c>
      <c r="AC455" s="20">
        <v>1</v>
      </c>
      <c r="AD455" s="28">
        <v>3</v>
      </c>
    </row>
    <row r="456" spans="1:30" ht="14.55" customHeight="1" x14ac:dyDescent="0.4">
      <c r="A456" s="20">
        <v>0</v>
      </c>
      <c r="B456" s="20">
        <v>105</v>
      </c>
      <c r="C456" s="30">
        <v>63</v>
      </c>
      <c r="D456" s="20" t="s">
        <v>38</v>
      </c>
      <c r="E456" s="20">
        <v>0</v>
      </c>
      <c r="F456" s="20">
        <v>1</v>
      </c>
      <c r="G456" s="20">
        <v>0</v>
      </c>
      <c r="H456" s="20">
        <v>0</v>
      </c>
      <c r="I456" s="20">
        <v>0</v>
      </c>
      <c r="J456" s="20">
        <v>0</v>
      </c>
      <c r="K456" s="20">
        <v>0</v>
      </c>
      <c r="L456" s="20">
        <v>0</v>
      </c>
      <c r="M456" s="20">
        <v>0</v>
      </c>
      <c r="N456" s="31">
        <v>44599</v>
      </c>
      <c r="O456" s="31">
        <v>44605</v>
      </c>
      <c r="P456" s="24">
        <f t="shared" si="7"/>
        <v>7</v>
      </c>
      <c r="Q456" s="32" t="s">
        <v>31</v>
      </c>
      <c r="R456" s="32" t="s">
        <v>31</v>
      </c>
      <c r="S456" s="32" t="s">
        <v>32</v>
      </c>
      <c r="T456" s="20">
        <v>7783.01</v>
      </c>
      <c r="U456" s="20" t="s">
        <v>36</v>
      </c>
      <c r="V456" s="20" t="s">
        <v>285</v>
      </c>
      <c r="W456" s="20" t="s">
        <v>34</v>
      </c>
      <c r="X456" s="20" t="s">
        <v>286</v>
      </c>
      <c r="Y456" s="26">
        <v>261</v>
      </c>
      <c r="Z456" s="26">
        <v>27.296973095275501</v>
      </c>
      <c r="AA456" s="27" t="s">
        <v>34</v>
      </c>
      <c r="AB456" s="33">
        <v>1</v>
      </c>
      <c r="AC456" s="20">
        <v>1</v>
      </c>
      <c r="AD456" s="28">
        <v>4</v>
      </c>
    </row>
    <row r="457" spans="1:30" ht="14.55" customHeight="1" x14ac:dyDescent="0.4">
      <c r="A457" s="20">
        <v>0</v>
      </c>
      <c r="B457" s="20">
        <v>106</v>
      </c>
      <c r="C457" s="30">
        <v>55</v>
      </c>
      <c r="D457" s="20" t="s">
        <v>30</v>
      </c>
      <c r="E457" s="20">
        <v>0</v>
      </c>
      <c r="F457" s="20">
        <v>1</v>
      </c>
      <c r="G457" s="20">
        <v>1</v>
      </c>
      <c r="H457" s="20">
        <v>0</v>
      </c>
      <c r="I457" s="20">
        <v>0</v>
      </c>
      <c r="J457" s="20">
        <v>0</v>
      </c>
      <c r="K457" s="20">
        <v>0</v>
      </c>
      <c r="L457" s="20">
        <v>0</v>
      </c>
      <c r="M457" s="20">
        <v>0</v>
      </c>
      <c r="N457" s="31">
        <v>44601</v>
      </c>
      <c r="O457" s="31">
        <v>44606</v>
      </c>
      <c r="P457" s="24">
        <f t="shared" si="7"/>
        <v>6</v>
      </c>
      <c r="Q457" s="32" t="s">
        <v>31</v>
      </c>
      <c r="R457" s="32" t="s">
        <v>31</v>
      </c>
      <c r="S457" s="32" t="s">
        <v>32</v>
      </c>
      <c r="T457" s="20">
        <v>5455.49</v>
      </c>
      <c r="U457" s="20" t="s">
        <v>33</v>
      </c>
      <c r="V457" s="20" t="s">
        <v>287</v>
      </c>
      <c r="W457" s="20" t="s">
        <v>34</v>
      </c>
      <c r="X457" s="20" t="s">
        <v>288</v>
      </c>
      <c r="Y457" s="26">
        <v>237</v>
      </c>
      <c r="Z457" s="26">
        <v>27.5231070863083</v>
      </c>
      <c r="AA457" s="27" t="s">
        <v>34</v>
      </c>
      <c r="AB457" s="33">
        <v>1</v>
      </c>
      <c r="AC457" s="20">
        <v>1</v>
      </c>
      <c r="AD457" s="28">
        <v>3</v>
      </c>
    </row>
    <row r="458" spans="1:30" ht="14.55" customHeight="1" x14ac:dyDescent="0.4">
      <c r="A458" s="20">
        <v>0</v>
      </c>
      <c r="B458" s="20">
        <v>107</v>
      </c>
      <c r="C458" s="30">
        <v>61</v>
      </c>
      <c r="D458" s="20" t="s">
        <v>38</v>
      </c>
      <c r="E458" s="20">
        <v>0</v>
      </c>
      <c r="F458" s="20">
        <v>1</v>
      </c>
      <c r="G458" s="20">
        <v>0</v>
      </c>
      <c r="H458" s="20">
        <v>1</v>
      </c>
      <c r="I458" s="20">
        <v>0</v>
      </c>
      <c r="J458" s="20">
        <v>0</v>
      </c>
      <c r="K458" s="20">
        <v>0</v>
      </c>
      <c r="L458" s="20">
        <v>0</v>
      </c>
      <c r="M458" s="20">
        <v>0</v>
      </c>
      <c r="N458" s="31">
        <v>44601</v>
      </c>
      <c r="O458" s="31">
        <v>44627</v>
      </c>
      <c r="P458" s="24">
        <f t="shared" si="7"/>
        <v>27</v>
      </c>
      <c r="Q458" s="32" t="s">
        <v>31</v>
      </c>
      <c r="R458" s="32" t="s">
        <v>31</v>
      </c>
      <c r="S458" s="32" t="s">
        <v>32</v>
      </c>
      <c r="T458" s="20">
        <v>34444.449999999997</v>
      </c>
      <c r="U458" s="20" t="s">
        <v>40</v>
      </c>
      <c r="V458" s="20" t="s">
        <v>289</v>
      </c>
      <c r="W458" s="20" t="s">
        <v>94</v>
      </c>
      <c r="X458" s="20" t="s">
        <v>290</v>
      </c>
      <c r="Y458" s="26">
        <v>47</v>
      </c>
      <c r="Z458" s="26">
        <v>27.299240000000001</v>
      </c>
      <c r="AA458" s="27">
        <v>0</v>
      </c>
      <c r="AB458" s="33">
        <v>1</v>
      </c>
      <c r="AC458" s="20">
        <v>1</v>
      </c>
      <c r="AD458" s="28">
        <v>7</v>
      </c>
    </row>
    <row r="459" spans="1:30" ht="14.55" customHeight="1" x14ac:dyDescent="0.4">
      <c r="A459" s="20">
        <v>0</v>
      </c>
      <c r="B459" s="20">
        <v>108</v>
      </c>
      <c r="C459" s="30">
        <v>66</v>
      </c>
      <c r="D459" s="20" t="s">
        <v>30</v>
      </c>
      <c r="E459" s="20">
        <v>0</v>
      </c>
      <c r="F459" s="20">
        <v>0</v>
      </c>
      <c r="G459" s="20">
        <v>0</v>
      </c>
      <c r="H459" s="20">
        <v>0</v>
      </c>
      <c r="I459" s="20">
        <v>0</v>
      </c>
      <c r="J459" s="20">
        <v>0</v>
      </c>
      <c r="K459" s="20">
        <v>0</v>
      </c>
      <c r="L459" s="20">
        <v>0</v>
      </c>
      <c r="M459" s="20">
        <v>0</v>
      </c>
      <c r="N459" s="31">
        <v>44606</v>
      </c>
      <c r="O459" s="31">
        <v>44616</v>
      </c>
      <c r="P459" s="24">
        <f t="shared" si="7"/>
        <v>11</v>
      </c>
      <c r="Q459" s="32" t="s">
        <v>31</v>
      </c>
      <c r="R459" s="32" t="s">
        <v>31</v>
      </c>
      <c r="S459" s="32" t="s">
        <v>32</v>
      </c>
      <c r="T459" s="20">
        <v>18235.759999999998</v>
      </c>
      <c r="U459" s="20" t="s">
        <v>36</v>
      </c>
      <c r="V459" s="20" t="s">
        <v>291</v>
      </c>
      <c r="W459" s="20" t="s">
        <v>34</v>
      </c>
      <c r="X459" s="20" t="s">
        <v>292</v>
      </c>
      <c r="Y459" s="26">
        <v>239</v>
      </c>
      <c r="Z459" s="26">
        <v>27.1734546786174</v>
      </c>
      <c r="AA459" s="27" t="s">
        <v>34</v>
      </c>
      <c r="AB459" s="33">
        <v>1</v>
      </c>
      <c r="AC459" s="20">
        <v>1</v>
      </c>
      <c r="AD459" s="28">
        <v>8</v>
      </c>
    </row>
    <row r="460" spans="1:30" ht="14.55" customHeight="1" x14ac:dyDescent="0.4">
      <c r="A460" s="20">
        <v>0</v>
      </c>
      <c r="B460" s="20">
        <v>109</v>
      </c>
      <c r="C460" s="30">
        <v>62</v>
      </c>
      <c r="D460" s="20" t="s">
        <v>30</v>
      </c>
      <c r="E460" s="20">
        <v>1</v>
      </c>
      <c r="F460" s="20">
        <v>1</v>
      </c>
      <c r="G460" s="20">
        <v>0</v>
      </c>
      <c r="H460" s="20">
        <v>0</v>
      </c>
      <c r="I460" s="20">
        <v>0</v>
      </c>
      <c r="J460" s="20">
        <v>0</v>
      </c>
      <c r="K460" s="20">
        <v>0</v>
      </c>
      <c r="L460" s="20">
        <v>0</v>
      </c>
      <c r="M460" s="20">
        <v>0</v>
      </c>
      <c r="N460" s="31">
        <v>44640</v>
      </c>
      <c r="O460" s="31">
        <v>44647</v>
      </c>
      <c r="P460" s="24">
        <f t="shared" si="7"/>
        <v>8</v>
      </c>
      <c r="Q460" s="32" t="s">
        <v>31</v>
      </c>
      <c r="R460" s="32" t="s">
        <v>31</v>
      </c>
      <c r="S460" s="32" t="s">
        <v>32</v>
      </c>
      <c r="T460" s="20">
        <v>10305.67</v>
      </c>
      <c r="U460" s="20" t="s">
        <v>36</v>
      </c>
      <c r="V460" s="20" t="s">
        <v>293</v>
      </c>
      <c r="W460" s="20" t="s">
        <v>34</v>
      </c>
      <c r="X460" s="20" t="s">
        <v>294</v>
      </c>
      <c r="Y460" s="26">
        <v>232</v>
      </c>
      <c r="Z460" s="26">
        <v>24.204815184697502</v>
      </c>
      <c r="AA460" s="27" t="s">
        <v>34</v>
      </c>
      <c r="AB460" s="33">
        <v>0</v>
      </c>
      <c r="AC460" s="20" t="s">
        <v>31</v>
      </c>
      <c r="AD460" s="28">
        <v>6</v>
      </c>
    </row>
    <row r="461" spans="1:30" ht="14.55" customHeight="1" x14ac:dyDescent="0.4">
      <c r="A461" s="20">
        <v>0</v>
      </c>
      <c r="B461" s="20">
        <v>110</v>
      </c>
      <c r="C461" s="30">
        <v>61</v>
      </c>
      <c r="D461" s="20" t="s">
        <v>38</v>
      </c>
      <c r="E461" s="20">
        <v>0</v>
      </c>
      <c r="F461" s="20">
        <v>1</v>
      </c>
      <c r="G461" s="20">
        <v>0</v>
      </c>
      <c r="H461" s="20">
        <v>0</v>
      </c>
      <c r="I461" s="20">
        <v>1</v>
      </c>
      <c r="J461" s="20">
        <v>0</v>
      </c>
      <c r="K461" s="20">
        <v>0</v>
      </c>
      <c r="L461" s="20">
        <v>0</v>
      </c>
      <c r="M461" s="20">
        <v>0</v>
      </c>
      <c r="N461" s="31">
        <v>44651</v>
      </c>
      <c r="O461" s="31">
        <v>44662</v>
      </c>
      <c r="P461" s="24">
        <f t="shared" si="7"/>
        <v>12</v>
      </c>
      <c r="Q461" s="32" t="s">
        <v>31</v>
      </c>
      <c r="R461" s="32" t="s">
        <v>31</v>
      </c>
      <c r="S461" s="32" t="s">
        <v>32</v>
      </c>
      <c r="T461" s="20">
        <v>9499.86</v>
      </c>
      <c r="U461" s="20" t="s">
        <v>40</v>
      </c>
      <c r="V461" s="20" t="s">
        <v>295</v>
      </c>
      <c r="W461" s="20" t="s">
        <v>34</v>
      </c>
      <c r="X461" s="20" t="s">
        <v>296</v>
      </c>
      <c r="Y461" s="26">
        <v>232</v>
      </c>
      <c r="Z461" s="26">
        <v>24.9501200709492</v>
      </c>
      <c r="AA461" s="27" t="s">
        <v>34</v>
      </c>
      <c r="AB461" s="33">
        <v>0</v>
      </c>
      <c r="AC461" s="20" t="s">
        <v>31</v>
      </c>
      <c r="AD461" s="28">
        <v>8</v>
      </c>
    </row>
    <row r="462" spans="1:30" ht="14.55" customHeight="1" x14ac:dyDescent="0.4">
      <c r="A462" s="20">
        <v>0</v>
      </c>
      <c r="B462" s="20">
        <v>111</v>
      </c>
      <c r="C462" s="30">
        <v>60</v>
      </c>
      <c r="D462" s="20" t="s">
        <v>38</v>
      </c>
      <c r="E462" s="20">
        <v>0</v>
      </c>
      <c r="F462" s="20">
        <v>1</v>
      </c>
      <c r="G462" s="20">
        <v>0</v>
      </c>
      <c r="H462" s="20">
        <v>0</v>
      </c>
      <c r="I462" s="20">
        <v>0</v>
      </c>
      <c r="J462" s="20">
        <v>0</v>
      </c>
      <c r="K462" s="20">
        <v>0</v>
      </c>
      <c r="L462" s="20">
        <v>0</v>
      </c>
      <c r="M462" s="20">
        <v>0</v>
      </c>
      <c r="N462" s="31">
        <v>44658</v>
      </c>
      <c r="O462" s="31">
        <v>44665</v>
      </c>
      <c r="P462" s="24">
        <f t="shared" si="7"/>
        <v>8</v>
      </c>
      <c r="Q462" s="32" t="s">
        <v>31</v>
      </c>
      <c r="R462" s="32" t="s">
        <v>31</v>
      </c>
      <c r="S462" s="32" t="s">
        <v>32</v>
      </c>
      <c r="T462" s="20">
        <v>9440.67</v>
      </c>
      <c r="U462" s="20" t="s">
        <v>36</v>
      </c>
      <c r="V462" s="20" t="s">
        <v>297</v>
      </c>
      <c r="W462" s="20" t="s">
        <v>235</v>
      </c>
      <c r="X462" s="20" t="s">
        <v>235</v>
      </c>
      <c r="Y462" s="26">
        <v>1584</v>
      </c>
      <c r="Z462" s="26">
        <v>26.110220000000002</v>
      </c>
      <c r="AA462" s="27">
        <v>1</v>
      </c>
      <c r="AB462" s="33">
        <v>1</v>
      </c>
      <c r="AC462" s="20">
        <v>2</v>
      </c>
      <c r="AD462" s="28">
        <v>6</v>
      </c>
    </row>
    <row r="463" spans="1:30" ht="14.55" customHeight="1" x14ac:dyDescent="0.4">
      <c r="A463" s="20">
        <v>0</v>
      </c>
      <c r="B463" s="20">
        <v>112</v>
      </c>
      <c r="C463" s="30">
        <v>58</v>
      </c>
      <c r="D463" s="20" t="s">
        <v>38</v>
      </c>
      <c r="E463" s="20">
        <v>0</v>
      </c>
      <c r="F463" s="20">
        <v>1</v>
      </c>
      <c r="G463" s="20">
        <v>1</v>
      </c>
      <c r="H463" s="20">
        <v>0</v>
      </c>
      <c r="I463" s="20">
        <v>0</v>
      </c>
      <c r="J463" s="20">
        <v>0</v>
      </c>
      <c r="K463" s="20">
        <v>0</v>
      </c>
      <c r="L463" s="20">
        <v>0</v>
      </c>
      <c r="M463" s="20">
        <v>0</v>
      </c>
      <c r="N463" s="31">
        <v>44660</v>
      </c>
      <c r="O463" s="31">
        <v>44669</v>
      </c>
      <c r="P463" s="24">
        <f t="shared" si="7"/>
        <v>10</v>
      </c>
      <c r="Q463" s="32" t="s">
        <v>31</v>
      </c>
      <c r="R463" s="32" t="s">
        <v>31</v>
      </c>
      <c r="S463" s="32" t="s">
        <v>32</v>
      </c>
      <c r="T463" s="20">
        <v>9601.17</v>
      </c>
      <c r="U463" s="20" t="s">
        <v>69</v>
      </c>
      <c r="V463" s="20" t="s">
        <v>298</v>
      </c>
      <c r="W463" s="20" t="s">
        <v>34</v>
      </c>
      <c r="X463" s="20" t="s">
        <v>299</v>
      </c>
      <c r="Y463" s="26">
        <v>1464</v>
      </c>
      <c r="Z463" s="26">
        <v>24.978626090101901</v>
      </c>
      <c r="AA463" s="27" t="s">
        <v>34</v>
      </c>
      <c r="AB463" s="33">
        <v>0</v>
      </c>
      <c r="AC463" s="20" t="s">
        <v>31</v>
      </c>
      <c r="AD463" s="28">
        <v>6</v>
      </c>
    </row>
    <row r="464" spans="1:30" ht="14.55" customHeight="1" x14ac:dyDescent="0.4">
      <c r="A464" s="20">
        <v>0</v>
      </c>
      <c r="B464" s="20">
        <v>113</v>
      </c>
      <c r="C464" s="30">
        <v>59</v>
      </c>
      <c r="D464" s="20" t="s">
        <v>38</v>
      </c>
      <c r="E464" s="20">
        <v>0</v>
      </c>
      <c r="F464" s="20">
        <v>0</v>
      </c>
      <c r="G464" s="20">
        <v>0</v>
      </c>
      <c r="H464" s="20">
        <v>0</v>
      </c>
      <c r="I464" s="20">
        <v>0</v>
      </c>
      <c r="J464" s="20">
        <v>0</v>
      </c>
      <c r="K464" s="20">
        <v>0</v>
      </c>
      <c r="L464" s="20">
        <v>0</v>
      </c>
      <c r="M464" s="20">
        <v>0</v>
      </c>
      <c r="N464" s="31">
        <v>44663</v>
      </c>
      <c r="O464" s="31">
        <v>44680</v>
      </c>
      <c r="P464" s="24">
        <f t="shared" si="7"/>
        <v>18</v>
      </c>
      <c r="Q464" s="32" t="s">
        <v>31</v>
      </c>
      <c r="R464" s="32" t="s">
        <v>31</v>
      </c>
      <c r="S464" s="32" t="s">
        <v>32</v>
      </c>
      <c r="T464" s="20">
        <v>80181.78</v>
      </c>
      <c r="U464" s="20" t="s">
        <v>36</v>
      </c>
      <c r="V464" s="20" t="s">
        <v>300</v>
      </c>
      <c r="W464" s="20" t="s">
        <v>34</v>
      </c>
      <c r="X464" s="20" t="s">
        <v>301</v>
      </c>
      <c r="Y464" s="26">
        <v>1509</v>
      </c>
      <c r="Z464" s="26">
        <v>24.2174773169681</v>
      </c>
      <c r="AA464" s="27" t="s">
        <v>34</v>
      </c>
      <c r="AB464" s="33">
        <v>1</v>
      </c>
      <c r="AC464" s="20">
        <v>1</v>
      </c>
      <c r="AD464" s="28">
        <v>7</v>
      </c>
    </row>
    <row r="465" spans="1:30" ht="14.55" customHeight="1" x14ac:dyDescent="0.4">
      <c r="A465" s="20">
        <v>0</v>
      </c>
      <c r="B465" s="20">
        <v>114</v>
      </c>
      <c r="C465" s="30">
        <v>63</v>
      </c>
      <c r="D465" s="20" t="s">
        <v>38</v>
      </c>
      <c r="E465" s="20">
        <v>0</v>
      </c>
      <c r="F465" s="20">
        <v>1</v>
      </c>
      <c r="G465" s="20">
        <v>0</v>
      </c>
      <c r="H465" s="20">
        <v>0</v>
      </c>
      <c r="I465" s="20">
        <v>0</v>
      </c>
      <c r="J465" s="20">
        <v>0</v>
      </c>
      <c r="K465" s="20">
        <v>0</v>
      </c>
      <c r="L465" s="20">
        <v>0</v>
      </c>
      <c r="M465" s="20">
        <v>0</v>
      </c>
      <c r="N465" s="31">
        <v>44670</v>
      </c>
      <c r="O465" s="31">
        <v>44677</v>
      </c>
      <c r="P465" s="24">
        <f t="shared" si="7"/>
        <v>8</v>
      </c>
      <c r="Q465" s="32" t="s">
        <v>31</v>
      </c>
      <c r="R465" s="32" t="s">
        <v>31</v>
      </c>
      <c r="S465" s="32" t="s">
        <v>32</v>
      </c>
      <c r="T465" s="20">
        <v>10229.31</v>
      </c>
      <c r="U465" s="20" t="s">
        <v>40</v>
      </c>
      <c r="V465" s="20" t="s">
        <v>302</v>
      </c>
      <c r="W465" s="20" t="s">
        <v>34</v>
      </c>
      <c r="X465" s="20" t="s">
        <v>303</v>
      </c>
      <c r="Y465" s="26">
        <v>1291</v>
      </c>
      <c r="Z465" s="26">
        <v>26.183458287268898</v>
      </c>
      <c r="AA465" s="27" t="s">
        <v>34</v>
      </c>
      <c r="AB465" s="33">
        <v>0</v>
      </c>
      <c r="AC465" s="20" t="s">
        <v>31</v>
      </c>
      <c r="AD465" s="28">
        <v>6</v>
      </c>
    </row>
    <row r="466" spans="1:30" ht="14.55" customHeight="1" x14ac:dyDescent="0.4">
      <c r="A466" s="20">
        <v>0</v>
      </c>
      <c r="B466" s="20">
        <v>115</v>
      </c>
      <c r="C466" s="30">
        <v>66</v>
      </c>
      <c r="D466" s="20" t="s">
        <v>30</v>
      </c>
      <c r="E466" s="20">
        <v>0</v>
      </c>
      <c r="F466" s="20">
        <v>1</v>
      </c>
      <c r="G466" s="20">
        <v>0</v>
      </c>
      <c r="H466" s="20">
        <v>1</v>
      </c>
      <c r="I466" s="20">
        <v>0</v>
      </c>
      <c r="J466" s="20">
        <v>0</v>
      </c>
      <c r="K466" s="20">
        <v>0</v>
      </c>
      <c r="L466" s="20">
        <v>0</v>
      </c>
      <c r="M466" s="20">
        <v>0</v>
      </c>
      <c r="N466" s="31">
        <v>44676</v>
      </c>
      <c r="O466" s="31">
        <v>44681</v>
      </c>
      <c r="P466" s="24">
        <f t="shared" si="7"/>
        <v>6</v>
      </c>
      <c r="Q466" s="32" t="s">
        <v>31</v>
      </c>
      <c r="R466" s="32" t="s">
        <v>31</v>
      </c>
      <c r="S466" s="32" t="s">
        <v>32</v>
      </c>
      <c r="T466" s="20">
        <v>13244.11</v>
      </c>
      <c r="U466" s="20" t="s">
        <v>36</v>
      </c>
      <c r="V466" s="20" t="s">
        <v>304</v>
      </c>
      <c r="W466" s="20" t="s">
        <v>34</v>
      </c>
      <c r="X466" s="20" t="s">
        <v>305</v>
      </c>
      <c r="Y466" s="26">
        <v>1458</v>
      </c>
      <c r="Z466" s="26">
        <v>26.752742316573901</v>
      </c>
      <c r="AA466" s="27" t="s">
        <v>34</v>
      </c>
      <c r="AB466" s="33">
        <v>1</v>
      </c>
      <c r="AC466" s="20">
        <v>1</v>
      </c>
      <c r="AD466" s="28">
        <v>3</v>
      </c>
    </row>
    <row r="467" spans="1:30" ht="14.55" customHeight="1" x14ac:dyDescent="0.4">
      <c r="A467" s="20">
        <v>0</v>
      </c>
      <c r="B467" s="20">
        <v>116</v>
      </c>
      <c r="C467" s="30">
        <v>63</v>
      </c>
      <c r="D467" s="20" t="s">
        <v>30</v>
      </c>
      <c r="E467" s="20">
        <v>0</v>
      </c>
      <c r="F467" s="20">
        <v>1</v>
      </c>
      <c r="G467" s="20">
        <v>0</v>
      </c>
      <c r="H467" s="20">
        <v>0</v>
      </c>
      <c r="I467" s="20">
        <v>0</v>
      </c>
      <c r="J467" s="20">
        <v>0</v>
      </c>
      <c r="K467" s="20">
        <v>0</v>
      </c>
      <c r="L467" s="20">
        <v>1</v>
      </c>
      <c r="M467" s="20">
        <v>0</v>
      </c>
      <c r="N467" s="31">
        <v>44676</v>
      </c>
      <c r="O467" s="31">
        <v>44684</v>
      </c>
      <c r="P467" s="24">
        <f t="shared" si="7"/>
        <v>9</v>
      </c>
      <c r="Q467" s="32" t="s">
        <v>31</v>
      </c>
      <c r="R467" s="32" t="s">
        <v>31</v>
      </c>
      <c r="S467" s="32" t="s">
        <v>32</v>
      </c>
      <c r="T467" s="20">
        <v>9730.7900000000009</v>
      </c>
      <c r="U467" s="20" t="s">
        <v>36</v>
      </c>
      <c r="V467" s="20" t="s">
        <v>306</v>
      </c>
      <c r="W467" s="20" t="s">
        <v>34</v>
      </c>
      <c r="X467" s="20" t="s">
        <v>307</v>
      </c>
      <c r="Y467" s="26">
        <v>1465</v>
      </c>
      <c r="Z467" s="26">
        <v>24.0581948067993</v>
      </c>
      <c r="AA467" s="27" t="s">
        <v>34</v>
      </c>
      <c r="AB467" s="33">
        <v>1</v>
      </c>
      <c r="AC467" s="20">
        <v>1</v>
      </c>
      <c r="AD467" s="28">
        <v>4</v>
      </c>
    </row>
    <row r="468" spans="1:30" ht="14.55" customHeight="1" x14ac:dyDescent="0.4">
      <c r="A468" s="20">
        <v>0</v>
      </c>
      <c r="B468" s="20">
        <v>117</v>
      </c>
      <c r="C468" s="30">
        <v>64</v>
      </c>
      <c r="D468" s="20" t="s">
        <v>30</v>
      </c>
      <c r="E468" s="20">
        <v>1</v>
      </c>
      <c r="F468" s="20">
        <v>1</v>
      </c>
      <c r="G468" s="20">
        <v>1</v>
      </c>
      <c r="H468" s="20">
        <v>0</v>
      </c>
      <c r="I468" s="20">
        <v>0</v>
      </c>
      <c r="J468" s="20">
        <v>0</v>
      </c>
      <c r="K468" s="20">
        <v>0</v>
      </c>
      <c r="L468" s="20">
        <v>1</v>
      </c>
      <c r="M468" s="20">
        <v>0</v>
      </c>
      <c r="N468" s="31">
        <v>44687</v>
      </c>
      <c r="O468" s="31">
        <v>44699</v>
      </c>
      <c r="P468" s="24">
        <f t="shared" si="7"/>
        <v>13</v>
      </c>
      <c r="Q468" s="32" t="s">
        <v>31</v>
      </c>
      <c r="R468" s="32" t="s">
        <v>31</v>
      </c>
      <c r="S468" s="32" t="s">
        <v>32</v>
      </c>
      <c r="T468" s="26">
        <v>14874.4</v>
      </c>
      <c r="U468" s="20" t="s">
        <v>36</v>
      </c>
      <c r="V468" s="20" t="s">
        <v>308</v>
      </c>
      <c r="W468" s="20" t="s">
        <v>309</v>
      </c>
      <c r="X468" s="20" t="s">
        <v>310</v>
      </c>
      <c r="Y468" s="26">
        <v>70</v>
      </c>
      <c r="Z468" s="26">
        <v>24.46706</v>
      </c>
      <c r="AA468" s="27">
        <v>1</v>
      </c>
      <c r="AB468" s="33">
        <v>1</v>
      </c>
      <c r="AC468" s="20">
        <v>1</v>
      </c>
      <c r="AD468" s="28">
        <v>4</v>
      </c>
    </row>
    <row r="469" spans="1:30" ht="14.55" customHeight="1" x14ac:dyDescent="0.4">
      <c r="A469" s="20">
        <v>0</v>
      </c>
      <c r="B469" s="20">
        <v>118</v>
      </c>
      <c r="C469" s="30">
        <v>66</v>
      </c>
      <c r="D469" s="20" t="s">
        <v>30</v>
      </c>
      <c r="E469" s="20">
        <v>0</v>
      </c>
      <c r="F469" s="20">
        <v>0</v>
      </c>
      <c r="G469" s="20">
        <v>0</v>
      </c>
      <c r="H469" s="20">
        <v>0</v>
      </c>
      <c r="I469" s="20">
        <v>0</v>
      </c>
      <c r="J469" s="20">
        <v>0</v>
      </c>
      <c r="K469" s="20">
        <v>0</v>
      </c>
      <c r="L469" s="20">
        <v>0</v>
      </c>
      <c r="M469" s="20">
        <v>0</v>
      </c>
      <c r="N469" s="31">
        <v>44688</v>
      </c>
      <c r="O469" s="31">
        <v>44692</v>
      </c>
      <c r="P469" s="24">
        <f t="shared" si="7"/>
        <v>5</v>
      </c>
      <c r="Q469" s="32" t="s">
        <v>31</v>
      </c>
      <c r="R469" s="32" t="s">
        <v>31</v>
      </c>
      <c r="S469" s="32" t="s">
        <v>32</v>
      </c>
      <c r="T469" s="20">
        <v>10231.950000000001</v>
      </c>
      <c r="U469" s="20" t="s">
        <v>36</v>
      </c>
      <c r="V469" s="20" t="s">
        <v>311</v>
      </c>
      <c r="W469" s="20" t="s">
        <v>34</v>
      </c>
      <c r="X469" s="20" t="s">
        <v>312</v>
      </c>
      <c r="Y469" s="26">
        <v>1440</v>
      </c>
      <c r="Z469" s="26">
        <v>27.973138685338199</v>
      </c>
      <c r="AA469" s="27" t="s">
        <v>34</v>
      </c>
      <c r="AB469" s="33">
        <v>1</v>
      </c>
      <c r="AC469" s="20">
        <v>1</v>
      </c>
      <c r="AD469" s="28">
        <v>4</v>
      </c>
    </row>
    <row r="470" spans="1:30" ht="14.55" customHeight="1" x14ac:dyDescent="0.4">
      <c r="A470" s="20">
        <v>0</v>
      </c>
      <c r="B470" s="20">
        <v>119</v>
      </c>
      <c r="C470" s="30">
        <v>64</v>
      </c>
      <c r="D470" s="20" t="s">
        <v>38</v>
      </c>
      <c r="E470" s="20">
        <v>0</v>
      </c>
      <c r="F470" s="20">
        <v>0</v>
      </c>
      <c r="G470" s="20">
        <v>0</v>
      </c>
      <c r="H470" s="20">
        <v>0</v>
      </c>
      <c r="I470" s="20">
        <v>0</v>
      </c>
      <c r="J470" s="20">
        <v>0</v>
      </c>
      <c r="K470" s="20">
        <v>0</v>
      </c>
      <c r="L470" s="20">
        <v>0</v>
      </c>
      <c r="M470" s="20">
        <v>0</v>
      </c>
      <c r="N470" s="31">
        <v>44688</v>
      </c>
      <c r="O470" s="31">
        <v>44697</v>
      </c>
      <c r="P470" s="24">
        <f t="shared" si="7"/>
        <v>10</v>
      </c>
      <c r="Q470" s="32" t="s">
        <v>31</v>
      </c>
      <c r="R470" s="32" t="s">
        <v>31</v>
      </c>
      <c r="S470" s="32" t="s">
        <v>32</v>
      </c>
      <c r="T470" s="20">
        <v>11835.35</v>
      </c>
      <c r="U470" s="20" t="s">
        <v>36</v>
      </c>
      <c r="V470" s="20" t="s">
        <v>313</v>
      </c>
      <c r="W470" s="20" t="s">
        <v>206</v>
      </c>
      <c r="X470" s="20" t="s">
        <v>34</v>
      </c>
      <c r="Y470" s="26">
        <v>1396</v>
      </c>
      <c r="Z470" s="26">
        <v>27.64282</v>
      </c>
      <c r="AA470" s="27">
        <v>1</v>
      </c>
      <c r="AB470" s="33" t="s">
        <v>34</v>
      </c>
      <c r="AC470" s="20" t="s">
        <v>31</v>
      </c>
      <c r="AD470" s="28">
        <v>5</v>
      </c>
    </row>
    <row r="471" spans="1:30" ht="14.55" customHeight="1" x14ac:dyDescent="0.4">
      <c r="A471" s="20">
        <v>0</v>
      </c>
      <c r="B471" s="20">
        <v>120</v>
      </c>
      <c r="C471" s="30">
        <v>59</v>
      </c>
      <c r="D471" s="20" t="s">
        <v>38</v>
      </c>
      <c r="E471" s="20">
        <v>0</v>
      </c>
      <c r="F471" s="20">
        <v>1</v>
      </c>
      <c r="G471" s="20">
        <v>0</v>
      </c>
      <c r="H471" s="20">
        <v>0</v>
      </c>
      <c r="I471" s="20">
        <v>0</v>
      </c>
      <c r="J471" s="20">
        <v>0</v>
      </c>
      <c r="K471" s="20">
        <v>0</v>
      </c>
      <c r="L471" s="20">
        <v>0</v>
      </c>
      <c r="M471" s="20">
        <v>0</v>
      </c>
      <c r="N471" s="31">
        <v>44689</v>
      </c>
      <c r="O471" s="31">
        <v>44694</v>
      </c>
      <c r="P471" s="24">
        <f t="shared" si="7"/>
        <v>6</v>
      </c>
      <c r="Q471" s="32" t="s">
        <v>31</v>
      </c>
      <c r="R471" s="32" t="s">
        <v>31</v>
      </c>
      <c r="S471" s="32" t="s">
        <v>32</v>
      </c>
      <c r="T471" s="20">
        <v>7351.83</v>
      </c>
      <c r="U471" s="20" t="s">
        <v>69</v>
      </c>
      <c r="V471" s="20" t="s">
        <v>314</v>
      </c>
      <c r="W471" s="20" t="s">
        <v>34</v>
      </c>
      <c r="X471" s="20" t="s">
        <v>315</v>
      </c>
      <c r="Y471" s="26">
        <v>47</v>
      </c>
      <c r="Z471" s="26">
        <v>26.004855399019998</v>
      </c>
      <c r="AA471" s="27" t="s">
        <v>34</v>
      </c>
      <c r="AB471" s="33">
        <v>0</v>
      </c>
      <c r="AC471" s="20" t="s">
        <v>31</v>
      </c>
      <c r="AD471" s="28">
        <v>4</v>
      </c>
    </row>
    <row r="472" spans="1:30" ht="14.55" customHeight="1" x14ac:dyDescent="0.4">
      <c r="A472" s="20">
        <v>0</v>
      </c>
      <c r="B472" s="20">
        <v>121</v>
      </c>
      <c r="C472" s="30">
        <v>60</v>
      </c>
      <c r="D472" s="20" t="s">
        <v>38</v>
      </c>
      <c r="E472" s="20">
        <v>0</v>
      </c>
      <c r="F472" s="20">
        <v>1</v>
      </c>
      <c r="G472" s="20">
        <v>1</v>
      </c>
      <c r="H472" s="20">
        <v>0</v>
      </c>
      <c r="I472" s="20">
        <v>1</v>
      </c>
      <c r="J472" s="20">
        <v>0</v>
      </c>
      <c r="K472" s="20">
        <v>0</v>
      </c>
      <c r="L472" s="20">
        <v>0</v>
      </c>
      <c r="M472" s="20">
        <v>0</v>
      </c>
      <c r="N472" s="31">
        <v>44691</v>
      </c>
      <c r="O472" s="31">
        <v>44697</v>
      </c>
      <c r="P472" s="24">
        <f t="shared" si="7"/>
        <v>7</v>
      </c>
      <c r="Q472" s="32" t="s">
        <v>31</v>
      </c>
      <c r="R472" s="32" t="s">
        <v>31</v>
      </c>
      <c r="S472" s="32" t="s">
        <v>32</v>
      </c>
      <c r="T472" s="20">
        <v>6926.27</v>
      </c>
      <c r="U472" s="20" t="s">
        <v>40</v>
      </c>
      <c r="V472" s="20" t="s">
        <v>316</v>
      </c>
      <c r="W472" s="20" t="s">
        <v>34</v>
      </c>
      <c r="X472" s="20" t="s">
        <v>34</v>
      </c>
      <c r="Y472" s="26">
        <v>244</v>
      </c>
      <c r="Z472" s="26">
        <v>26.684561157599099</v>
      </c>
      <c r="AA472" s="27" t="s">
        <v>34</v>
      </c>
      <c r="AB472" s="33" t="s">
        <v>34</v>
      </c>
      <c r="AC472" s="20" t="s">
        <v>31</v>
      </c>
      <c r="AD472" s="28">
        <v>4</v>
      </c>
    </row>
    <row r="473" spans="1:30" ht="14.55" customHeight="1" x14ac:dyDescent="0.4">
      <c r="A473" s="20">
        <v>0</v>
      </c>
      <c r="B473" s="20">
        <v>122</v>
      </c>
      <c r="C473" s="30">
        <v>66</v>
      </c>
      <c r="D473" s="20" t="s">
        <v>38</v>
      </c>
      <c r="E473" s="20">
        <v>0</v>
      </c>
      <c r="F473" s="20">
        <v>1</v>
      </c>
      <c r="G473" s="20">
        <v>0</v>
      </c>
      <c r="H473" s="20">
        <v>1</v>
      </c>
      <c r="I473" s="20">
        <v>0</v>
      </c>
      <c r="J473" s="20">
        <v>0</v>
      </c>
      <c r="K473" s="20">
        <v>0</v>
      </c>
      <c r="L473" s="20">
        <v>0</v>
      </c>
      <c r="M473" s="20">
        <v>0</v>
      </c>
      <c r="N473" s="31">
        <v>44698</v>
      </c>
      <c r="O473" s="31">
        <v>44709</v>
      </c>
      <c r="P473" s="24">
        <f t="shared" si="7"/>
        <v>12</v>
      </c>
      <c r="Q473" s="32" t="s">
        <v>31</v>
      </c>
      <c r="R473" s="32" t="s">
        <v>31</v>
      </c>
      <c r="S473" s="32" t="s">
        <v>32</v>
      </c>
      <c r="T473" s="20">
        <v>13702.09</v>
      </c>
      <c r="U473" s="20" t="s">
        <v>36</v>
      </c>
      <c r="V473" s="20" t="s">
        <v>317</v>
      </c>
      <c r="W473" s="20" t="s">
        <v>34</v>
      </c>
      <c r="X473" s="20" t="s">
        <v>34</v>
      </c>
      <c r="Y473" s="26">
        <v>262</v>
      </c>
      <c r="Z473" s="26">
        <v>26.4139345530421</v>
      </c>
      <c r="AA473" s="27" t="s">
        <v>34</v>
      </c>
      <c r="AB473" s="33" t="s">
        <v>34</v>
      </c>
      <c r="AC473" s="20" t="s">
        <v>31</v>
      </c>
      <c r="AD473" s="28">
        <v>9</v>
      </c>
    </row>
    <row r="474" spans="1:30" ht="14.55" customHeight="1" x14ac:dyDescent="0.4">
      <c r="A474" s="20">
        <v>0</v>
      </c>
      <c r="B474" s="20">
        <v>123</v>
      </c>
      <c r="C474" s="30">
        <v>68</v>
      </c>
      <c r="D474" s="20" t="s">
        <v>30</v>
      </c>
      <c r="E474" s="20">
        <v>0</v>
      </c>
      <c r="F474" s="20">
        <v>1</v>
      </c>
      <c r="G474" s="20">
        <v>1</v>
      </c>
      <c r="H474" s="20">
        <v>1</v>
      </c>
      <c r="I474" s="20">
        <v>1</v>
      </c>
      <c r="J474" s="20">
        <v>0</v>
      </c>
      <c r="K474" s="20">
        <v>0</v>
      </c>
      <c r="L474" s="20">
        <v>0</v>
      </c>
      <c r="M474" s="20">
        <v>0</v>
      </c>
      <c r="N474" s="31">
        <v>44696</v>
      </c>
      <c r="O474" s="31">
        <v>44717</v>
      </c>
      <c r="P474" s="24">
        <f t="shared" si="7"/>
        <v>22</v>
      </c>
      <c r="Q474" s="32" t="s">
        <v>31</v>
      </c>
      <c r="R474" s="32" t="s">
        <v>31</v>
      </c>
      <c r="S474" s="32" t="s">
        <v>32</v>
      </c>
      <c r="T474" s="20">
        <v>30359.65</v>
      </c>
      <c r="U474" s="20" t="s">
        <v>69</v>
      </c>
      <c r="V474" s="20" t="s">
        <v>318</v>
      </c>
      <c r="W474" s="20" t="s">
        <v>34</v>
      </c>
      <c r="X474" s="20" t="s">
        <v>34</v>
      </c>
      <c r="Y474" s="26">
        <v>263</v>
      </c>
      <c r="Z474" s="26">
        <v>27.370398450642799</v>
      </c>
      <c r="AA474" s="27" t="s">
        <v>34</v>
      </c>
      <c r="AB474" s="33" t="s">
        <v>34</v>
      </c>
      <c r="AC474" s="20" t="s">
        <v>31</v>
      </c>
      <c r="AD474" s="28">
        <v>12</v>
      </c>
    </row>
    <row r="475" spans="1:30" ht="14.55" customHeight="1" x14ac:dyDescent="0.4">
      <c r="A475" s="20">
        <v>0</v>
      </c>
      <c r="B475" s="20">
        <v>124</v>
      </c>
      <c r="C475" s="30">
        <v>58</v>
      </c>
      <c r="D475" s="20" t="s">
        <v>38</v>
      </c>
      <c r="E475" s="20">
        <v>0</v>
      </c>
      <c r="F475" s="20">
        <v>0</v>
      </c>
      <c r="G475" s="20">
        <v>1</v>
      </c>
      <c r="H475" s="20">
        <v>0</v>
      </c>
      <c r="I475" s="20">
        <v>0</v>
      </c>
      <c r="J475" s="20">
        <v>0</v>
      </c>
      <c r="K475" s="20">
        <v>0</v>
      </c>
      <c r="L475" s="20">
        <v>0</v>
      </c>
      <c r="M475" s="20">
        <v>0</v>
      </c>
      <c r="N475" s="31">
        <v>44700</v>
      </c>
      <c r="O475" s="31">
        <v>44709</v>
      </c>
      <c r="P475" s="24">
        <f t="shared" si="7"/>
        <v>10</v>
      </c>
      <c r="Q475" s="32" t="s">
        <v>31</v>
      </c>
      <c r="R475" s="32" t="s">
        <v>31</v>
      </c>
      <c r="S475" s="32" t="s">
        <v>32</v>
      </c>
      <c r="T475" s="20">
        <v>16745.55</v>
      </c>
      <c r="U475" s="20" t="s">
        <v>36</v>
      </c>
      <c r="V475" s="35" t="s">
        <v>319</v>
      </c>
      <c r="W475" s="20" t="s">
        <v>102</v>
      </c>
      <c r="X475" s="20" t="s">
        <v>320</v>
      </c>
      <c r="Y475" s="26">
        <v>93</v>
      </c>
      <c r="Z475" s="26">
        <v>26.760020000000001</v>
      </c>
      <c r="AA475" s="27">
        <v>1</v>
      </c>
      <c r="AB475" s="33">
        <v>1</v>
      </c>
      <c r="AC475" s="20">
        <v>1</v>
      </c>
      <c r="AD475" s="28">
        <v>9</v>
      </c>
    </row>
    <row r="476" spans="1:30" ht="14.55" customHeight="1" x14ac:dyDescent="0.4">
      <c r="A476" s="20">
        <v>0</v>
      </c>
      <c r="B476" s="20">
        <v>126</v>
      </c>
      <c r="C476" s="30">
        <v>63</v>
      </c>
      <c r="D476" s="20" t="s">
        <v>30</v>
      </c>
      <c r="E476" s="20">
        <v>0</v>
      </c>
      <c r="F476" s="20">
        <v>0</v>
      </c>
      <c r="G476" s="20">
        <v>1</v>
      </c>
      <c r="H476" s="20">
        <v>0</v>
      </c>
      <c r="I476" s="20">
        <v>0</v>
      </c>
      <c r="J476" s="20">
        <v>0</v>
      </c>
      <c r="K476" s="20">
        <v>0</v>
      </c>
      <c r="L476" s="20">
        <v>0</v>
      </c>
      <c r="M476" s="20">
        <v>0</v>
      </c>
      <c r="N476" s="31">
        <v>44720</v>
      </c>
      <c r="O476" s="31">
        <v>44728</v>
      </c>
      <c r="P476" s="24">
        <f t="shared" si="7"/>
        <v>9</v>
      </c>
      <c r="Q476" s="32" t="s">
        <v>31</v>
      </c>
      <c r="R476" s="32" t="s">
        <v>31</v>
      </c>
      <c r="S476" s="32" t="s">
        <v>32</v>
      </c>
      <c r="T476" s="20">
        <v>13746.37</v>
      </c>
      <c r="U476" s="20" t="s">
        <v>40</v>
      </c>
      <c r="V476" s="20" t="s">
        <v>321</v>
      </c>
      <c r="W476" s="20" t="s">
        <v>34</v>
      </c>
      <c r="X476" s="20" t="s">
        <v>34</v>
      </c>
      <c r="Y476" s="26">
        <v>1465</v>
      </c>
      <c r="Z476" s="26">
        <v>24.580982164479799</v>
      </c>
      <c r="AA476" s="27" t="s">
        <v>34</v>
      </c>
      <c r="AB476" s="33" t="s">
        <v>34</v>
      </c>
      <c r="AC476" s="20" t="s">
        <v>31</v>
      </c>
      <c r="AD476" s="28">
        <v>8</v>
      </c>
    </row>
    <row r="477" spans="1:30" ht="14.55" customHeight="1" x14ac:dyDescent="0.4">
      <c r="A477" s="20">
        <v>0</v>
      </c>
      <c r="B477" s="20">
        <v>127</v>
      </c>
      <c r="C477" s="30">
        <v>64</v>
      </c>
      <c r="D477" s="20" t="s">
        <v>30</v>
      </c>
      <c r="E477" s="20">
        <v>0</v>
      </c>
      <c r="F477" s="20">
        <v>1</v>
      </c>
      <c r="G477" s="20">
        <v>0</v>
      </c>
      <c r="H477" s="20">
        <v>1</v>
      </c>
      <c r="I477" s="20">
        <v>0</v>
      </c>
      <c r="J477" s="20">
        <v>0</v>
      </c>
      <c r="K477" s="20">
        <v>0</v>
      </c>
      <c r="L477" s="20">
        <v>1</v>
      </c>
      <c r="M477" s="20">
        <v>0</v>
      </c>
      <c r="N477" s="31">
        <v>44728</v>
      </c>
      <c r="O477" s="31">
        <v>44734</v>
      </c>
      <c r="P477" s="24">
        <f t="shared" si="7"/>
        <v>7</v>
      </c>
      <c r="Q477" s="32" t="s">
        <v>31</v>
      </c>
      <c r="R477" s="32" t="s">
        <v>31</v>
      </c>
      <c r="S477" s="32" t="s">
        <v>32</v>
      </c>
      <c r="T477" s="20">
        <v>9570.65</v>
      </c>
      <c r="U477" s="20" t="s">
        <v>69</v>
      </c>
      <c r="V477" s="20" t="s">
        <v>322</v>
      </c>
      <c r="W477" s="20" t="s">
        <v>34</v>
      </c>
      <c r="X477" s="20" t="s">
        <v>323</v>
      </c>
      <c r="Y477" s="26">
        <v>240</v>
      </c>
      <c r="Z477" s="26">
        <v>26.480255577713301</v>
      </c>
      <c r="AA477" s="27" t="s">
        <v>34</v>
      </c>
      <c r="AB477" s="33">
        <v>1</v>
      </c>
      <c r="AC477" s="20">
        <v>1</v>
      </c>
      <c r="AD477" s="28">
        <v>5</v>
      </c>
    </row>
    <row r="478" spans="1:30" ht="14.55" customHeight="1" x14ac:dyDescent="0.4">
      <c r="A478" s="20">
        <v>0</v>
      </c>
      <c r="B478" s="20">
        <v>128</v>
      </c>
      <c r="C478" s="30">
        <v>62</v>
      </c>
      <c r="D478" s="20" t="s">
        <v>38</v>
      </c>
      <c r="E478" s="20">
        <v>0</v>
      </c>
      <c r="F478" s="20">
        <v>0</v>
      </c>
      <c r="G478" s="20">
        <v>0</v>
      </c>
      <c r="H478" s="20">
        <v>1</v>
      </c>
      <c r="I478" s="20">
        <v>0</v>
      </c>
      <c r="J478" s="20">
        <v>0</v>
      </c>
      <c r="K478" s="20">
        <v>0</v>
      </c>
      <c r="L478" s="20">
        <v>0</v>
      </c>
      <c r="M478" s="20">
        <v>0</v>
      </c>
      <c r="N478" s="31">
        <v>44733</v>
      </c>
      <c r="O478" s="31">
        <v>44738</v>
      </c>
      <c r="P478" s="24">
        <f t="shared" si="7"/>
        <v>6</v>
      </c>
      <c r="Q478" s="32" t="s">
        <v>31</v>
      </c>
      <c r="R478" s="32" t="s">
        <v>31</v>
      </c>
      <c r="S478" s="32" t="s">
        <v>32</v>
      </c>
      <c r="T478" s="20">
        <v>12455.06</v>
      </c>
      <c r="U478" s="20" t="s">
        <v>36</v>
      </c>
      <c r="V478" s="20" t="s">
        <v>324</v>
      </c>
      <c r="W478" s="20" t="s">
        <v>325</v>
      </c>
      <c r="X478" s="20" t="s">
        <v>326</v>
      </c>
      <c r="Y478" s="26">
        <v>1011</v>
      </c>
      <c r="Z478" s="26">
        <v>24.128399999999999</v>
      </c>
      <c r="AA478" s="27">
        <v>1</v>
      </c>
      <c r="AB478" s="33">
        <v>1</v>
      </c>
      <c r="AC478" s="20">
        <v>1</v>
      </c>
      <c r="AD478" s="28">
        <v>4</v>
      </c>
    </row>
    <row r="479" spans="1:30" ht="14.55" customHeight="1" x14ac:dyDescent="0.4">
      <c r="A479" s="20">
        <v>0</v>
      </c>
      <c r="B479" s="20">
        <v>129</v>
      </c>
      <c r="C479" s="30">
        <v>56</v>
      </c>
      <c r="D479" s="20" t="s">
        <v>30</v>
      </c>
      <c r="E479" s="20">
        <v>1</v>
      </c>
      <c r="F479" s="20">
        <v>1</v>
      </c>
      <c r="G479" s="20">
        <v>0</v>
      </c>
      <c r="H479" s="20">
        <v>0</v>
      </c>
      <c r="I479" s="20">
        <v>0</v>
      </c>
      <c r="J479" s="20">
        <v>0</v>
      </c>
      <c r="K479" s="20">
        <v>0</v>
      </c>
      <c r="L479" s="20">
        <v>0</v>
      </c>
      <c r="M479" s="20">
        <v>0</v>
      </c>
      <c r="N479" s="31">
        <v>44736</v>
      </c>
      <c r="O479" s="31">
        <v>44743</v>
      </c>
      <c r="P479" s="24">
        <f t="shared" si="7"/>
        <v>8</v>
      </c>
      <c r="Q479" s="32" t="s">
        <v>31</v>
      </c>
      <c r="R479" s="32" t="s">
        <v>31</v>
      </c>
      <c r="S479" s="32" t="s">
        <v>32</v>
      </c>
      <c r="T479" s="20">
        <v>9025.36</v>
      </c>
      <c r="U479" s="20" t="s">
        <v>33</v>
      </c>
      <c r="V479" s="20" t="s">
        <v>327</v>
      </c>
      <c r="W479" s="20" t="s">
        <v>34</v>
      </c>
      <c r="X479" s="20" t="s">
        <v>328</v>
      </c>
      <c r="Y479" s="26">
        <v>264</v>
      </c>
      <c r="Z479" s="26">
        <v>26.446801288984702</v>
      </c>
      <c r="AA479" s="27" t="s">
        <v>34</v>
      </c>
      <c r="AB479" s="33">
        <v>0</v>
      </c>
      <c r="AC479" s="20" t="s">
        <v>31</v>
      </c>
      <c r="AD479" s="28">
        <v>7</v>
      </c>
    </row>
    <row r="480" spans="1:30" ht="14.55" customHeight="1" x14ac:dyDescent="0.4">
      <c r="A480" s="20">
        <v>0</v>
      </c>
      <c r="B480" s="20">
        <v>130</v>
      </c>
      <c r="C480" s="30">
        <v>65</v>
      </c>
      <c r="D480" s="20" t="s">
        <v>30</v>
      </c>
      <c r="E480" s="20">
        <v>0</v>
      </c>
      <c r="F480" s="20">
        <v>1</v>
      </c>
      <c r="G480" s="20">
        <v>1</v>
      </c>
      <c r="H480" s="20">
        <v>0</v>
      </c>
      <c r="I480" s="20">
        <v>0</v>
      </c>
      <c r="J480" s="20">
        <v>0</v>
      </c>
      <c r="K480" s="20">
        <v>0</v>
      </c>
      <c r="L480" s="20">
        <v>0</v>
      </c>
      <c r="M480" s="20">
        <v>0</v>
      </c>
      <c r="N480" s="31">
        <v>44740</v>
      </c>
      <c r="O480" s="31">
        <v>44751</v>
      </c>
      <c r="P480" s="24">
        <f t="shared" si="7"/>
        <v>12</v>
      </c>
      <c r="Q480" s="32" t="s">
        <v>31</v>
      </c>
      <c r="R480" s="32" t="s">
        <v>31</v>
      </c>
      <c r="S480" s="32" t="s">
        <v>32</v>
      </c>
      <c r="T480" s="20">
        <v>8153.29</v>
      </c>
      <c r="U480" s="20" t="s">
        <v>36</v>
      </c>
      <c r="V480" s="20" t="s">
        <v>329</v>
      </c>
      <c r="W480" s="20" t="s">
        <v>94</v>
      </c>
      <c r="X480" s="20" t="s">
        <v>94</v>
      </c>
      <c r="Y480" s="26">
        <v>48</v>
      </c>
      <c r="Z480" s="26">
        <v>27.167169999999999</v>
      </c>
      <c r="AA480" s="27">
        <v>0</v>
      </c>
      <c r="AB480" s="33">
        <v>0</v>
      </c>
      <c r="AC480" s="20" t="s">
        <v>31</v>
      </c>
      <c r="AD480" s="28">
        <v>7</v>
      </c>
    </row>
    <row r="481" spans="1:30" ht="14.55" customHeight="1" x14ac:dyDescent="0.4">
      <c r="A481" s="20">
        <v>0</v>
      </c>
      <c r="B481" s="20">
        <v>131</v>
      </c>
      <c r="C481" s="30">
        <v>60</v>
      </c>
      <c r="D481" s="20" t="s">
        <v>38</v>
      </c>
      <c r="E481" s="20">
        <v>0</v>
      </c>
      <c r="F481" s="20">
        <v>1</v>
      </c>
      <c r="G481" s="20">
        <v>0</v>
      </c>
      <c r="H481" s="20">
        <v>0</v>
      </c>
      <c r="I481" s="20">
        <v>0</v>
      </c>
      <c r="J481" s="20">
        <v>0</v>
      </c>
      <c r="K481" s="20">
        <v>0</v>
      </c>
      <c r="L481" s="20">
        <v>0</v>
      </c>
      <c r="M481" s="20">
        <v>0</v>
      </c>
      <c r="N481" s="31">
        <v>44746</v>
      </c>
      <c r="O481" s="31">
        <v>44755</v>
      </c>
      <c r="P481" s="24">
        <f t="shared" si="7"/>
        <v>10</v>
      </c>
      <c r="Q481" s="32" t="s">
        <v>31</v>
      </c>
      <c r="R481" s="32" t="s">
        <v>31</v>
      </c>
      <c r="S481" s="32" t="s">
        <v>32</v>
      </c>
      <c r="T481" s="20">
        <v>10565.71</v>
      </c>
      <c r="U481" s="20" t="s">
        <v>69</v>
      </c>
      <c r="V481" s="20" t="s">
        <v>330</v>
      </c>
      <c r="W481" s="20" t="s">
        <v>34</v>
      </c>
      <c r="X481" s="20" t="s">
        <v>34</v>
      </c>
      <c r="Y481" s="26">
        <v>1485</v>
      </c>
      <c r="Z481" s="26">
        <v>25.216171906329699</v>
      </c>
      <c r="AA481" s="27" t="s">
        <v>34</v>
      </c>
      <c r="AB481" s="33" t="s">
        <v>34</v>
      </c>
      <c r="AC481" s="20" t="s">
        <v>31</v>
      </c>
      <c r="AD481" s="28">
        <v>3</v>
      </c>
    </row>
    <row r="482" spans="1:30" ht="14.55" customHeight="1" x14ac:dyDescent="0.4">
      <c r="A482" s="20">
        <v>0</v>
      </c>
      <c r="B482" s="20">
        <v>132</v>
      </c>
      <c r="C482" s="30">
        <v>59</v>
      </c>
      <c r="D482" s="20" t="s">
        <v>30</v>
      </c>
      <c r="E482" s="20">
        <v>0</v>
      </c>
      <c r="F482" s="20">
        <v>0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>
        <v>0</v>
      </c>
      <c r="M482" s="20">
        <v>0</v>
      </c>
      <c r="N482" s="31">
        <v>44755</v>
      </c>
      <c r="O482" s="31">
        <v>44767</v>
      </c>
      <c r="P482" s="24">
        <f t="shared" si="7"/>
        <v>13</v>
      </c>
      <c r="Q482" s="32" t="s">
        <v>31</v>
      </c>
      <c r="R482" s="32" t="s">
        <v>31</v>
      </c>
      <c r="S482" s="32" t="s">
        <v>32</v>
      </c>
      <c r="T482" s="26">
        <v>13722.5</v>
      </c>
      <c r="U482" s="20" t="s">
        <v>33</v>
      </c>
      <c r="V482" s="20" t="s">
        <v>331</v>
      </c>
      <c r="W482" s="20" t="s">
        <v>34</v>
      </c>
      <c r="X482" s="20" t="s">
        <v>332</v>
      </c>
      <c r="Y482" s="26">
        <v>46</v>
      </c>
      <c r="Z482" s="26">
        <v>27.765456657856699</v>
      </c>
      <c r="AA482" s="27" t="s">
        <v>34</v>
      </c>
      <c r="AB482" s="33">
        <v>0</v>
      </c>
      <c r="AC482" s="20" t="s">
        <v>31</v>
      </c>
      <c r="AD482" s="28">
        <v>4</v>
      </c>
    </row>
    <row r="483" spans="1:30" ht="14.55" customHeight="1" x14ac:dyDescent="0.4">
      <c r="A483" s="20">
        <v>0</v>
      </c>
      <c r="B483" s="20">
        <v>133</v>
      </c>
      <c r="C483" s="30">
        <v>64</v>
      </c>
      <c r="D483" s="20" t="s">
        <v>38</v>
      </c>
      <c r="E483" s="20">
        <v>1</v>
      </c>
      <c r="F483" s="20">
        <v>1</v>
      </c>
      <c r="G483" s="20">
        <v>0</v>
      </c>
      <c r="H483" s="20">
        <v>0</v>
      </c>
      <c r="I483" s="20">
        <v>0</v>
      </c>
      <c r="J483" s="20">
        <v>1</v>
      </c>
      <c r="K483" s="20">
        <v>0</v>
      </c>
      <c r="L483" s="20">
        <v>0</v>
      </c>
      <c r="M483" s="20">
        <v>0</v>
      </c>
      <c r="N483" s="31">
        <v>44756</v>
      </c>
      <c r="O483" s="31">
        <v>44762</v>
      </c>
      <c r="P483" s="24">
        <f t="shared" si="7"/>
        <v>7</v>
      </c>
      <c r="Q483" s="32" t="s">
        <v>31</v>
      </c>
      <c r="R483" s="32" t="s">
        <v>31</v>
      </c>
      <c r="S483" s="32" t="s">
        <v>32</v>
      </c>
      <c r="T483" s="20">
        <v>5775.38</v>
      </c>
      <c r="U483" s="20" t="s">
        <v>40</v>
      </c>
      <c r="V483" s="20" t="s">
        <v>333</v>
      </c>
      <c r="W483" s="20" t="s">
        <v>34</v>
      </c>
      <c r="X483" s="20" t="s">
        <v>34</v>
      </c>
      <c r="Y483" s="26">
        <v>245</v>
      </c>
      <c r="Z483" s="26">
        <v>26.872115165926498</v>
      </c>
      <c r="AA483" s="27" t="s">
        <v>34</v>
      </c>
      <c r="AB483" s="33" t="s">
        <v>34</v>
      </c>
      <c r="AC483" s="20" t="s">
        <v>31</v>
      </c>
      <c r="AD483" s="28">
        <v>5</v>
      </c>
    </row>
    <row r="484" spans="1:30" ht="14.55" customHeight="1" x14ac:dyDescent="0.4">
      <c r="A484" s="20">
        <v>0</v>
      </c>
      <c r="B484" s="20">
        <v>134</v>
      </c>
      <c r="C484" s="30">
        <v>69</v>
      </c>
      <c r="D484" s="20" t="s">
        <v>30</v>
      </c>
      <c r="E484" s="20">
        <v>0</v>
      </c>
      <c r="F484" s="20">
        <v>1</v>
      </c>
      <c r="G484" s="20">
        <v>0</v>
      </c>
      <c r="H484" s="20">
        <v>0</v>
      </c>
      <c r="I484" s="20">
        <v>0</v>
      </c>
      <c r="J484" s="20">
        <v>1</v>
      </c>
      <c r="K484" s="20">
        <v>0</v>
      </c>
      <c r="L484" s="20">
        <v>0</v>
      </c>
      <c r="M484" s="20">
        <v>0</v>
      </c>
      <c r="N484" s="31">
        <v>44756</v>
      </c>
      <c r="O484" s="31">
        <v>44763</v>
      </c>
      <c r="P484" s="24">
        <f t="shared" si="7"/>
        <v>8</v>
      </c>
      <c r="Q484" s="32" t="s">
        <v>31</v>
      </c>
      <c r="R484" s="32" t="s">
        <v>31</v>
      </c>
      <c r="S484" s="32" t="s">
        <v>32</v>
      </c>
      <c r="T484" s="20">
        <v>5796.47</v>
      </c>
      <c r="U484" s="20" t="s">
        <v>40</v>
      </c>
      <c r="V484" s="20" t="s">
        <v>334</v>
      </c>
      <c r="W484" s="20" t="s">
        <v>34</v>
      </c>
      <c r="X484" s="20" t="s">
        <v>335</v>
      </c>
      <c r="Y484" s="26">
        <v>235</v>
      </c>
      <c r="Z484" s="26">
        <v>27.827784602530301</v>
      </c>
      <c r="AA484" s="27" t="s">
        <v>34</v>
      </c>
      <c r="AB484" s="33">
        <v>1</v>
      </c>
      <c r="AC484" s="20">
        <v>1</v>
      </c>
      <c r="AD484" s="28">
        <v>6</v>
      </c>
    </row>
    <row r="485" spans="1:30" ht="14.55" customHeight="1" x14ac:dyDescent="0.4">
      <c r="A485" s="20">
        <v>0</v>
      </c>
      <c r="B485" s="20">
        <v>135</v>
      </c>
      <c r="C485" s="30">
        <v>63</v>
      </c>
      <c r="D485" s="20" t="s">
        <v>30</v>
      </c>
      <c r="E485" s="20">
        <v>0</v>
      </c>
      <c r="F485" s="20">
        <v>1</v>
      </c>
      <c r="G485" s="20">
        <v>0</v>
      </c>
      <c r="H485" s="20">
        <v>0</v>
      </c>
      <c r="I485" s="20">
        <v>0</v>
      </c>
      <c r="J485" s="20">
        <v>0</v>
      </c>
      <c r="K485" s="20">
        <v>0</v>
      </c>
      <c r="L485" s="20">
        <v>0</v>
      </c>
      <c r="M485" s="20">
        <v>0</v>
      </c>
      <c r="N485" s="31">
        <v>44756</v>
      </c>
      <c r="O485" s="31">
        <v>44763</v>
      </c>
      <c r="P485" s="24">
        <f t="shared" si="7"/>
        <v>8</v>
      </c>
      <c r="Q485" s="32" t="s">
        <v>31</v>
      </c>
      <c r="R485" s="32" t="s">
        <v>31</v>
      </c>
      <c r="S485" s="32" t="s">
        <v>32</v>
      </c>
      <c r="T485" s="20">
        <v>13047.01</v>
      </c>
      <c r="U485" s="20" t="s">
        <v>36</v>
      </c>
      <c r="V485" s="20" t="s">
        <v>336</v>
      </c>
      <c r="W485" s="20" t="s">
        <v>34</v>
      </c>
      <c r="X485" s="20" t="s">
        <v>337</v>
      </c>
      <c r="Y485" s="26">
        <v>238</v>
      </c>
      <c r="Z485" s="26">
        <v>24.8400510316715</v>
      </c>
      <c r="AA485" s="27" t="s">
        <v>34</v>
      </c>
      <c r="AB485" s="33">
        <v>1</v>
      </c>
      <c r="AC485" s="20">
        <v>3</v>
      </c>
      <c r="AD485" s="28">
        <v>6</v>
      </c>
    </row>
    <row r="486" spans="1:30" ht="14.55" customHeight="1" x14ac:dyDescent="0.4">
      <c r="A486" s="20">
        <v>0</v>
      </c>
      <c r="B486" s="20">
        <v>137</v>
      </c>
      <c r="C486" s="30">
        <v>69</v>
      </c>
      <c r="D486" s="20" t="s">
        <v>30</v>
      </c>
      <c r="E486" s="20">
        <v>0</v>
      </c>
      <c r="F486" s="20">
        <v>1</v>
      </c>
      <c r="G486" s="20">
        <v>0</v>
      </c>
      <c r="H486" s="20">
        <v>0</v>
      </c>
      <c r="I486" s="20">
        <v>0</v>
      </c>
      <c r="J486" s="20">
        <v>0</v>
      </c>
      <c r="K486" s="20">
        <v>0</v>
      </c>
      <c r="L486" s="20">
        <v>0</v>
      </c>
      <c r="M486" s="20">
        <v>0</v>
      </c>
      <c r="N486" s="31">
        <v>44773</v>
      </c>
      <c r="O486" s="31">
        <v>44782</v>
      </c>
      <c r="P486" s="24">
        <f t="shared" si="7"/>
        <v>10</v>
      </c>
      <c r="Q486" s="32" t="s">
        <v>31</v>
      </c>
      <c r="R486" s="32" t="s">
        <v>31</v>
      </c>
      <c r="S486" s="32" t="s">
        <v>32</v>
      </c>
      <c r="T486" s="20">
        <v>6064.51</v>
      </c>
      <c r="U486" s="20" t="s">
        <v>36</v>
      </c>
      <c r="V486" s="20" t="s">
        <v>338</v>
      </c>
      <c r="W486" s="20" t="s">
        <v>339</v>
      </c>
      <c r="X486" s="20" t="s">
        <v>94</v>
      </c>
      <c r="Y486" s="26">
        <v>1468</v>
      </c>
      <c r="Z486" s="26">
        <v>27.838460000000001</v>
      </c>
      <c r="AA486" s="27">
        <v>1</v>
      </c>
      <c r="AB486" s="33">
        <v>0</v>
      </c>
      <c r="AC486" s="20" t="s">
        <v>31</v>
      </c>
      <c r="AD486" s="28">
        <v>3</v>
      </c>
    </row>
    <row r="487" spans="1:30" ht="14.55" customHeight="1" x14ac:dyDescent="0.4">
      <c r="A487" s="20">
        <v>0</v>
      </c>
      <c r="B487" s="20">
        <v>140</v>
      </c>
      <c r="C487" s="30">
        <v>66</v>
      </c>
      <c r="D487" s="20" t="s">
        <v>30</v>
      </c>
      <c r="E487" s="20">
        <v>1</v>
      </c>
      <c r="F487" s="20">
        <v>1</v>
      </c>
      <c r="G487" s="20">
        <v>0</v>
      </c>
      <c r="H487" s="20">
        <v>1</v>
      </c>
      <c r="I487" s="20">
        <v>0</v>
      </c>
      <c r="J487" s="20">
        <v>0</v>
      </c>
      <c r="K487" s="20">
        <v>0</v>
      </c>
      <c r="L487" s="20">
        <v>0</v>
      </c>
      <c r="M487" s="20">
        <v>0</v>
      </c>
      <c r="N487" s="31">
        <v>44785</v>
      </c>
      <c r="O487" s="31">
        <v>44799</v>
      </c>
      <c r="P487" s="24">
        <f t="shared" si="7"/>
        <v>15</v>
      </c>
      <c r="Q487" s="32" t="s">
        <v>31</v>
      </c>
      <c r="R487" s="32" t="s">
        <v>31</v>
      </c>
      <c r="S487" s="32" t="s">
        <v>32</v>
      </c>
      <c r="T487" s="20">
        <v>13546.18</v>
      </c>
      <c r="U487" s="20" t="s">
        <v>40</v>
      </c>
      <c r="V487" s="20" t="s">
        <v>340</v>
      </c>
      <c r="W487" s="20" t="s">
        <v>34</v>
      </c>
      <c r="X487" s="20" t="s">
        <v>341</v>
      </c>
      <c r="Y487" s="26">
        <v>237</v>
      </c>
      <c r="Z487" s="26">
        <v>27.097367195412499</v>
      </c>
      <c r="AA487" s="27" t="s">
        <v>34</v>
      </c>
      <c r="AB487" s="33">
        <v>1</v>
      </c>
      <c r="AC487" s="20">
        <v>2</v>
      </c>
      <c r="AD487" s="28">
        <v>12</v>
      </c>
    </row>
    <row r="488" spans="1:30" ht="14.55" customHeight="1" x14ac:dyDescent="0.4">
      <c r="A488" s="20">
        <v>0</v>
      </c>
      <c r="B488" s="20">
        <v>141</v>
      </c>
      <c r="C488" s="30">
        <v>58</v>
      </c>
      <c r="D488" s="20" t="s">
        <v>30</v>
      </c>
      <c r="E488" s="20">
        <v>0</v>
      </c>
      <c r="F488" s="20">
        <v>1</v>
      </c>
      <c r="G488" s="20">
        <v>0</v>
      </c>
      <c r="H488" s="20">
        <v>1</v>
      </c>
      <c r="I488" s="20">
        <v>0</v>
      </c>
      <c r="J488" s="20">
        <v>0</v>
      </c>
      <c r="K488" s="20">
        <v>0</v>
      </c>
      <c r="L488" s="20">
        <v>0</v>
      </c>
      <c r="M488" s="20">
        <v>0</v>
      </c>
      <c r="N488" s="31">
        <v>44792</v>
      </c>
      <c r="O488" s="31">
        <v>44799</v>
      </c>
      <c r="P488" s="24">
        <f t="shared" si="7"/>
        <v>8</v>
      </c>
      <c r="Q488" s="32" t="s">
        <v>31</v>
      </c>
      <c r="R488" s="32" t="s">
        <v>31</v>
      </c>
      <c r="S488" s="32" t="s">
        <v>32</v>
      </c>
      <c r="T488" s="20">
        <v>40758.629999999997</v>
      </c>
      <c r="U488" s="20" t="s">
        <v>33</v>
      </c>
      <c r="V488" s="20" t="s">
        <v>342</v>
      </c>
      <c r="W488" s="20" t="s">
        <v>34</v>
      </c>
      <c r="X488" s="20" t="s">
        <v>343</v>
      </c>
      <c r="Y488" s="26">
        <v>241</v>
      </c>
      <c r="Z488" s="26">
        <v>26.5675102723762</v>
      </c>
      <c r="AA488" s="27" t="s">
        <v>34</v>
      </c>
      <c r="AB488" s="33">
        <v>1</v>
      </c>
      <c r="AC488" s="20">
        <v>1</v>
      </c>
      <c r="AD488" s="28">
        <v>6</v>
      </c>
    </row>
    <row r="489" spans="1:30" ht="14.55" customHeight="1" x14ac:dyDescent="0.4">
      <c r="A489" s="20">
        <v>0</v>
      </c>
      <c r="B489" s="20">
        <v>142</v>
      </c>
      <c r="C489" s="30">
        <v>62</v>
      </c>
      <c r="D489" s="20" t="s">
        <v>38</v>
      </c>
      <c r="E489" s="20">
        <v>0</v>
      </c>
      <c r="F489" s="20">
        <v>0</v>
      </c>
      <c r="G489" s="20">
        <v>0</v>
      </c>
      <c r="H489" s="20">
        <v>1</v>
      </c>
      <c r="I489" s="20">
        <v>0</v>
      </c>
      <c r="J489" s="20">
        <v>0</v>
      </c>
      <c r="K489" s="20">
        <v>0</v>
      </c>
      <c r="L489" s="20">
        <v>0</v>
      </c>
      <c r="M489" s="20">
        <v>0</v>
      </c>
      <c r="N489" s="31">
        <v>44788</v>
      </c>
      <c r="O489" s="31">
        <v>44810</v>
      </c>
      <c r="P489" s="24">
        <f t="shared" si="7"/>
        <v>23</v>
      </c>
      <c r="Q489" s="32" t="s">
        <v>31</v>
      </c>
      <c r="R489" s="32" t="s">
        <v>31</v>
      </c>
      <c r="S489" s="32" t="s">
        <v>32</v>
      </c>
      <c r="T489" s="20">
        <v>10066.39</v>
      </c>
      <c r="U489" s="20" t="s">
        <v>40</v>
      </c>
      <c r="V489" s="20" t="s">
        <v>344</v>
      </c>
      <c r="W489" s="20" t="s">
        <v>34</v>
      </c>
      <c r="X489" s="20" t="s">
        <v>345</v>
      </c>
      <c r="Y489" s="26">
        <v>1413</v>
      </c>
      <c r="Z489" s="26">
        <v>27.250602784566599</v>
      </c>
      <c r="AA489" s="27" t="s">
        <v>34</v>
      </c>
      <c r="AB489" s="33">
        <v>1</v>
      </c>
      <c r="AC489" s="20">
        <v>1</v>
      </c>
      <c r="AD489" s="28">
        <v>16</v>
      </c>
    </row>
    <row r="490" spans="1:30" ht="14.55" customHeight="1" x14ac:dyDescent="0.4">
      <c r="A490" s="20">
        <v>0</v>
      </c>
      <c r="B490" s="20">
        <v>143</v>
      </c>
      <c r="C490" s="30">
        <v>62</v>
      </c>
      <c r="D490" s="20" t="s">
        <v>38</v>
      </c>
      <c r="E490" s="20">
        <v>0</v>
      </c>
      <c r="F490" s="20">
        <v>1</v>
      </c>
      <c r="G490" s="20">
        <v>1</v>
      </c>
      <c r="H490" s="20">
        <v>0</v>
      </c>
      <c r="I490" s="20">
        <v>0</v>
      </c>
      <c r="J490" s="20">
        <v>0</v>
      </c>
      <c r="K490" s="20">
        <v>0</v>
      </c>
      <c r="L490" s="20">
        <v>0</v>
      </c>
      <c r="M490" s="20">
        <v>0</v>
      </c>
      <c r="N490" s="31">
        <v>44798</v>
      </c>
      <c r="O490" s="31">
        <v>44809</v>
      </c>
      <c r="P490" s="24">
        <f t="shared" si="7"/>
        <v>12</v>
      </c>
      <c r="Q490" s="32" t="s">
        <v>31</v>
      </c>
      <c r="R490" s="32" t="s">
        <v>31</v>
      </c>
      <c r="S490" s="32" t="s">
        <v>32</v>
      </c>
      <c r="T490" s="20">
        <v>12534.36</v>
      </c>
      <c r="U490" s="20" t="s">
        <v>36</v>
      </c>
      <c r="V490" s="20" t="s">
        <v>346</v>
      </c>
      <c r="W490" s="20" t="s">
        <v>347</v>
      </c>
      <c r="X490" s="20" t="s">
        <v>348</v>
      </c>
      <c r="Y490" s="26">
        <v>166</v>
      </c>
      <c r="Z490" s="26">
        <v>24.54035</v>
      </c>
      <c r="AA490" s="27">
        <v>1</v>
      </c>
      <c r="AB490" s="33">
        <v>1</v>
      </c>
      <c r="AC490" s="20">
        <v>1</v>
      </c>
      <c r="AD490" s="28">
        <v>6</v>
      </c>
    </row>
    <row r="491" spans="1:30" ht="14.55" customHeight="1" x14ac:dyDescent="0.4">
      <c r="A491" s="20">
        <v>0</v>
      </c>
      <c r="B491" s="20">
        <v>144</v>
      </c>
      <c r="C491" s="30">
        <v>63</v>
      </c>
      <c r="D491" s="20" t="s">
        <v>30</v>
      </c>
      <c r="E491" s="20">
        <v>0</v>
      </c>
      <c r="F491" s="20">
        <v>1</v>
      </c>
      <c r="G491" s="20">
        <v>0</v>
      </c>
      <c r="H491" s="20">
        <v>1</v>
      </c>
      <c r="I491" s="20">
        <v>0</v>
      </c>
      <c r="J491" s="20">
        <v>0</v>
      </c>
      <c r="K491" s="20">
        <v>0</v>
      </c>
      <c r="L491" s="20">
        <v>0</v>
      </c>
      <c r="M491" s="20">
        <v>0</v>
      </c>
      <c r="N491" s="31">
        <v>44808</v>
      </c>
      <c r="O491" s="31">
        <v>44811</v>
      </c>
      <c r="P491" s="24">
        <f t="shared" si="7"/>
        <v>4</v>
      </c>
      <c r="Q491" s="32" t="s">
        <v>31</v>
      </c>
      <c r="R491" s="32" t="s">
        <v>31</v>
      </c>
      <c r="S491" s="32" t="s">
        <v>32</v>
      </c>
      <c r="T491" s="26">
        <v>4235.8</v>
      </c>
      <c r="U491" s="20" t="s">
        <v>40</v>
      </c>
      <c r="V491" s="20" t="s">
        <v>349</v>
      </c>
      <c r="W491" s="20" t="s">
        <v>350</v>
      </c>
      <c r="X491" s="20" t="s">
        <v>351</v>
      </c>
      <c r="Y491" s="26">
        <v>1437</v>
      </c>
      <c r="Z491" s="26">
        <v>26.228570000000001</v>
      </c>
      <c r="AA491" s="27">
        <v>1</v>
      </c>
      <c r="AB491" s="33">
        <v>1</v>
      </c>
      <c r="AC491" s="20">
        <v>1</v>
      </c>
      <c r="AD491" s="28">
        <v>2</v>
      </c>
    </row>
    <row r="492" spans="1:30" ht="14.55" customHeight="1" x14ac:dyDescent="0.4">
      <c r="A492" s="20">
        <v>0</v>
      </c>
      <c r="B492" s="20">
        <v>145</v>
      </c>
      <c r="C492" s="30">
        <v>57</v>
      </c>
      <c r="D492" s="20" t="s">
        <v>38</v>
      </c>
      <c r="E492" s="20">
        <v>0</v>
      </c>
      <c r="F492" s="20">
        <v>1</v>
      </c>
      <c r="G492" s="20">
        <v>1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  <c r="N492" s="31">
        <v>44806</v>
      </c>
      <c r="O492" s="31">
        <v>44812</v>
      </c>
      <c r="P492" s="24">
        <f t="shared" si="7"/>
        <v>7</v>
      </c>
      <c r="Q492" s="32" t="s">
        <v>31</v>
      </c>
      <c r="R492" s="32" t="s">
        <v>31</v>
      </c>
      <c r="S492" s="32" t="s">
        <v>32</v>
      </c>
      <c r="T492" s="20">
        <v>8041.38</v>
      </c>
      <c r="U492" s="20" t="s">
        <v>40</v>
      </c>
      <c r="V492" s="20" t="s">
        <v>352</v>
      </c>
      <c r="W492" s="20" t="s">
        <v>34</v>
      </c>
      <c r="X492" s="20" t="s">
        <v>353</v>
      </c>
      <c r="Y492" s="26">
        <v>1433</v>
      </c>
      <c r="Z492" s="26">
        <v>24.943694614805299</v>
      </c>
      <c r="AA492" s="27" t="s">
        <v>34</v>
      </c>
      <c r="AB492" s="33">
        <v>1</v>
      </c>
      <c r="AC492" s="20">
        <v>1</v>
      </c>
      <c r="AD492" s="28">
        <v>5</v>
      </c>
    </row>
    <row r="493" spans="1:30" ht="14.55" customHeight="1" x14ac:dyDescent="0.4">
      <c r="A493" s="20">
        <v>0</v>
      </c>
      <c r="B493" s="20">
        <v>146</v>
      </c>
      <c r="C493" s="30">
        <v>68</v>
      </c>
      <c r="D493" s="20" t="s">
        <v>30</v>
      </c>
      <c r="E493" s="20">
        <v>1</v>
      </c>
      <c r="F493" s="20">
        <v>1</v>
      </c>
      <c r="G493" s="20">
        <v>0</v>
      </c>
      <c r="H493" s="20">
        <v>0</v>
      </c>
      <c r="I493" s="20">
        <v>0</v>
      </c>
      <c r="J493" s="20">
        <v>0</v>
      </c>
      <c r="K493" s="20">
        <v>0</v>
      </c>
      <c r="L493" s="20">
        <v>0</v>
      </c>
      <c r="M493" s="20">
        <v>0</v>
      </c>
      <c r="N493" s="31">
        <v>44807</v>
      </c>
      <c r="O493" s="31">
        <v>44813</v>
      </c>
      <c r="P493" s="24">
        <f t="shared" si="7"/>
        <v>7</v>
      </c>
      <c r="Q493" s="32" t="s">
        <v>31</v>
      </c>
      <c r="R493" s="32" t="s">
        <v>31</v>
      </c>
      <c r="S493" s="32" t="s">
        <v>32</v>
      </c>
      <c r="T493" s="20">
        <v>16964.060000000001</v>
      </c>
      <c r="U493" s="20" t="s">
        <v>36</v>
      </c>
      <c r="V493" s="20" t="s">
        <v>354</v>
      </c>
      <c r="W493" s="20" t="s">
        <v>164</v>
      </c>
      <c r="X493" s="20" t="s">
        <v>355</v>
      </c>
      <c r="Y493" s="26">
        <v>833</v>
      </c>
      <c r="Z493" s="26">
        <v>26.1052</v>
      </c>
      <c r="AA493" s="27">
        <v>1</v>
      </c>
      <c r="AB493" s="33">
        <v>1</v>
      </c>
      <c r="AC493" s="20">
        <v>1</v>
      </c>
      <c r="AD493" s="28">
        <v>5</v>
      </c>
    </row>
    <row r="494" spans="1:30" ht="14.55" customHeight="1" x14ac:dyDescent="0.4">
      <c r="A494" s="20">
        <v>0</v>
      </c>
      <c r="B494" s="20">
        <v>147</v>
      </c>
      <c r="C494" s="30">
        <v>66</v>
      </c>
      <c r="D494" s="20" t="s">
        <v>38</v>
      </c>
      <c r="E494" s="20">
        <v>0</v>
      </c>
      <c r="F494" s="20">
        <v>1</v>
      </c>
      <c r="G494" s="20">
        <v>0</v>
      </c>
      <c r="H494" s="20">
        <v>0</v>
      </c>
      <c r="I494" s="20">
        <v>0</v>
      </c>
      <c r="J494" s="20">
        <v>0</v>
      </c>
      <c r="K494" s="20">
        <v>0</v>
      </c>
      <c r="L494" s="20">
        <v>0</v>
      </c>
      <c r="M494" s="20">
        <v>0</v>
      </c>
      <c r="N494" s="31">
        <v>44803</v>
      </c>
      <c r="O494" s="31">
        <v>44823</v>
      </c>
      <c r="P494" s="24">
        <f t="shared" si="7"/>
        <v>21</v>
      </c>
      <c r="Q494" s="32" t="s">
        <v>31</v>
      </c>
      <c r="R494" s="32" t="s">
        <v>31</v>
      </c>
      <c r="S494" s="32" t="s">
        <v>32</v>
      </c>
      <c r="T494" s="20">
        <v>16960.54</v>
      </c>
      <c r="U494" s="20" t="s">
        <v>40</v>
      </c>
      <c r="V494" s="20" t="s">
        <v>356</v>
      </c>
      <c r="W494" s="20" t="s">
        <v>34</v>
      </c>
      <c r="X494" s="20" t="s">
        <v>357</v>
      </c>
      <c r="Y494" s="26">
        <v>233</v>
      </c>
      <c r="Z494" s="26">
        <v>26.3432059604675</v>
      </c>
      <c r="AA494" s="27" t="s">
        <v>34</v>
      </c>
      <c r="AB494" s="33">
        <v>1</v>
      </c>
      <c r="AC494" s="20">
        <v>1</v>
      </c>
      <c r="AD494" s="28">
        <v>11</v>
      </c>
    </row>
    <row r="495" spans="1:30" ht="14.55" customHeight="1" x14ac:dyDescent="0.4">
      <c r="A495" s="20">
        <v>0</v>
      </c>
      <c r="B495" s="20">
        <v>148</v>
      </c>
      <c r="C495" s="30">
        <v>57</v>
      </c>
      <c r="D495" s="20" t="s">
        <v>38</v>
      </c>
      <c r="E495" s="20">
        <v>0</v>
      </c>
      <c r="F495" s="20">
        <v>1</v>
      </c>
      <c r="G495" s="20">
        <v>1</v>
      </c>
      <c r="H495" s="20">
        <v>1</v>
      </c>
      <c r="I495" s="20">
        <v>0</v>
      </c>
      <c r="J495" s="20">
        <v>0</v>
      </c>
      <c r="K495" s="20">
        <v>0</v>
      </c>
      <c r="L495" s="20">
        <v>0</v>
      </c>
      <c r="M495" s="20">
        <v>0</v>
      </c>
      <c r="N495" s="31">
        <v>44804</v>
      </c>
      <c r="O495" s="31">
        <v>44816</v>
      </c>
      <c r="P495" s="24">
        <f t="shared" si="7"/>
        <v>13</v>
      </c>
      <c r="Q495" s="32" t="s">
        <v>31</v>
      </c>
      <c r="R495" s="32" t="s">
        <v>31</v>
      </c>
      <c r="S495" s="32" t="s">
        <v>32</v>
      </c>
      <c r="T495" s="20">
        <v>9339.81</v>
      </c>
      <c r="U495" s="20" t="s">
        <v>40</v>
      </c>
      <c r="V495" s="20" t="s">
        <v>356</v>
      </c>
      <c r="W495" s="20" t="s">
        <v>358</v>
      </c>
      <c r="X495" s="20" t="s">
        <v>359</v>
      </c>
      <c r="Y495" s="26">
        <v>233</v>
      </c>
      <c r="Z495" s="26">
        <v>25.262350000000001</v>
      </c>
      <c r="AA495" s="27">
        <v>1</v>
      </c>
      <c r="AB495" s="33">
        <v>1</v>
      </c>
      <c r="AC495" s="20">
        <v>1</v>
      </c>
      <c r="AD495" s="28">
        <v>11</v>
      </c>
    </row>
    <row r="496" spans="1:30" ht="14.55" customHeight="1" x14ac:dyDescent="0.4">
      <c r="A496" s="20">
        <v>0</v>
      </c>
      <c r="B496" s="20">
        <v>149</v>
      </c>
      <c r="C496" s="30">
        <v>68</v>
      </c>
      <c r="D496" s="20" t="s">
        <v>30</v>
      </c>
      <c r="E496" s="20">
        <v>0</v>
      </c>
      <c r="F496" s="20">
        <v>1</v>
      </c>
      <c r="G496" s="20">
        <v>0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</v>
      </c>
      <c r="N496" s="31">
        <v>44809</v>
      </c>
      <c r="O496" s="31">
        <v>44823</v>
      </c>
      <c r="P496" s="24">
        <f t="shared" si="7"/>
        <v>15</v>
      </c>
      <c r="Q496" s="32" t="s">
        <v>31</v>
      </c>
      <c r="R496" s="32" t="s">
        <v>31</v>
      </c>
      <c r="S496" s="32" t="s">
        <v>32</v>
      </c>
      <c r="T496" s="20">
        <v>9647.89</v>
      </c>
      <c r="U496" s="20" t="s">
        <v>36</v>
      </c>
      <c r="V496" s="20" t="s">
        <v>360</v>
      </c>
      <c r="W496" s="20" t="s">
        <v>34</v>
      </c>
      <c r="X496" s="20" t="s">
        <v>361</v>
      </c>
      <c r="Y496" s="26">
        <v>68</v>
      </c>
      <c r="Z496" s="26">
        <v>25.381986150518099</v>
      </c>
      <c r="AA496" s="27" t="s">
        <v>34</v>
      </c>
      <c r="AB496" s="33">
        <v>1</v>
      </c>
      <c r="AC496" s="20">
        <v>2</v>
      </c>
      <c r="AD496" s="28">
        <v>10</v>
      </c>
    </row>
    <row r="497" spans="1:30" ht="14.25" customHeight="1" x14ac:dyDescent="0.4">
      <c r="A497" s="20">
        <v>0</v>
      </c>
      <c r="B497" s="20">
        <v>150</v>
      </c>
      <c r="C497" s="30">
        <v>66</v>
      </c>
      <c r="D497" s="20" t="s">
        <v>30</v>
      </c>
      <c r="E497" s="20">
        <v>0</v>
      </c>
      <c r="F497" s="20">
        <v>1</v>
      </c>
      <c r="G497" s="20">
        <v>0</v>
      </c>
      <c r="H497" s="20">
        <v>0</v>
      </c>
      <c r="I497" s="20">
        <v>0</v>
      </c>
      <c r="J497" s="20">
        <v>0</v>
      </c>
      <c r="K497" s="20">
        <v>0</v>
      </c>
      <c r="L497" s="20">
        <v>0</v>
      </c>
      <c r="M497" s="20">
        <v>0</v>
      </c>
      <c r="N497" s="31">
        <v>44818</v>
      </c>
      <c r="O497" s="31">
        <v>44825</v>
      </c>
      <c r="P497" s="24">
        <f t="shared" si="7"/>
        <v>8</v>
      </c>
      <c r="Q497" s="32" t="s">
        <v>31</v>
      </c>
      <c r="R497" s="32" t="s">
        <v>31</v>
      </c>
      <c r="S497" s="32" t="s">
        <v>32</v>
      </c>
      <c r="T497" s="20">
        <v>11498.47</v>
      </c>
      <c r="U497" s="20" t="s">
        <v>36</v>
      </c>
      <c r="V497" s="20" t="s">
        <v>362</v>
      </c>
      <c r="W497" s="20" t="s">
        <v>102</v>
      </c>
      <c r="X497" s="20" t="s">
        <v>363</v>
      </c>
      <c r="Y497" s="26">
        <v>234</v>
      </c>
      <c r="Z497" s="26">
        <v>25.69201</v>
      </c>
      <c r="AA497" s="27">
        <v>1</v>
      </c>
      <c r="AB497" s="33">
        <v>1</v>
      </c>
      <c r="AC497" s="20">
        <v>1</v>
      </c>
      <c r="AD497" s="28">
        <v>3</v>
      </c>
    </row>
    <row r="498" spans="1:30" ht="14.55" customHeight="1" x14ac:dyDescent="0.4">
      <c r="A498" s="20">
        <v>0</v>
      </c>
      <c r="B498" s="20">
        <v>151</v>
      </c>
      <c r="C498" s="30">
        <v>57</v>
      </c>
      <c r="D498" s="20" t="s">
        <v>38</v>
      </c>
      <c r="E498" s="20">
        <v>1</v>
      </c>
      <c r="F498" s="20">
        <v>0</v>
      </c>
      <c r="G498" s="20">
        <v>0</v>
      </c>
      <c r="H498" s="20">
        <v>0</v>
      </c>
      <c r="I498" s="20">
        <v>0</v>
      </c>
      <c r="J498" s="20">
        <v>0</v>
      </c>
      <c r="K498" s="20">
        <v>0</v>
      </c>
      <c r="L498" s="20">
        <v>0</v>
      </c>
      <c r="M498" s="20">
        <v>0</v>
      </c>
      <c r="N498" s="31">
        <v>44816</v>
      </c>
      <c r="O498" s="31">
        <v>44822</v>
      </c>
      <c r="P498" s="24">
        <f t="shared" si="7"/>
        <v>7</v>
      </c>
      <c r="Q498" s="32" t="s">
        <v>31</v>
      </c>
      <c r="R498" s="32" t="s">
        <v>31</v>
      </c>
      <c r="S498" s="32" t="s">
        <v>32</v>
      </c>
      <c r="T498" s="20">
        <v>9126.3799999999992</v>
      </c>
      <c r="U498" s="20" t="s">
        <v>40</v>
      </c>
      <c r="V498" s="20" t="s">
        <v>362</v>
      </c>
      <c r="W498" s="20" t="s">
        <v>34</v>
      </c>
      <c r="X498" s="20" t="s">
        <v>364</v>
      </c>
      <c r="Y498" s="26">
        <v>1745</v>
      </c>
      <c r="Z498" s="26">
        <v>25.279377992264902</v>
      </c>
      <c r="AA498" s="27" t="s">
        <v>34</v>
      </c>
      <c r="AB498" s="33">
        <v>1</v>
      </c>
      <c r="AC498" s="20">
        <v>2</v>
      </c>
      <c r="AD498" s="28">
        <v>5</v>
      </c>
    </row>
    <row r="499" spans="1:30" ht="14.55" customHeight="1" x14ac:dyDescent="0.4">
      <c r="A499" s="20">
        <v>0</v>
      </c>
      <c r="B499" s="20">
        <v>153</v>
      </c>
      <c r="C499" s="30">
        <v>65</v>
      </c>
      <c r="D499" s="20" t="s">
        <v>38</v>
      </c>
      <c r="E499" s="20">
        <v>0</v>
      </c>
      <c r="F499" s="20">
        <v>1</v>
      </c>
      <c r="G499" s="20">
        <v>0</v>
      </c>
      <c r="H499" s="20">
        <v>0</v>
      </c>
      <c r="I499" s="20">
        <v>0</v>
      </c>
      <c r="J499" s="20">
        <v>0</v>
      </c>
      <c r="K499" s="20">
        <v>0</v>
      </c>
      <c r="L499" s="20">
        <v>0</v>
      </c>
      <c r="M499" s="20">
        <v>0</v>
      </c>
      <c r="N499" s="31">
        <v>44823</v>
      </c>
      <c r="O499" s="31">
        <v>44833</v>
      </c>
      <c r="P499" s="24">
        <f t="shared" si="7"/>
        <v>11</v>
      </c>
      <c r="Q499" s="32" t="s">
        <v>31</v>
      </c>
      <c r="R499" s="32" t="s">
        <v>31</v>
      </c>
      <c r="S499" s="32" t="s">
        <v>32</v>
      </c>
      <c r="T499" s="20">
        <v>13224.54</v>
      </c>
      <c r="U499" s="20" t="s">
        <v>36</v>
      </c>
      <c r="V499" s="20" t="s">
        <v>365</v>
      </c>
      <c r="W499" s="20" t="s">
        <v>34</v>
      </c>
      <c r="X499" s="20" t="s">
        <v>366</v>
      </c>
      <c r="Y499" s="26">
        <v>1433</v>
      </c>
      <c r="Z499" s="26">
        <v>24.158551602624399</v>
      </c>
      <c r="AA499" s="27" t="s">
        <v>34</v>
      </c>
      <c r="AB499" s="33">
        <v>0</v>
      </c>
      <c r="AC499" s="20" t="s">
        <v>31</v>
      </c>
      <c r="AD499" s="28">
        <v>8</v>
      </c>
    </row>
    <row r="500" spans="1:30" ht="14.55" customHeight="1" x14ac:dyDescent="0.4">
      <c r="A500" s="20">
        <v>0</v>
      </c>
      <c r="B500" s="20">
        <v>154</v>
      </c>
      <c r="C500" s="30">
        <v>68</v>
      </c>
      <c r="D500" s="20" t="s">
        <v>38</v>
      </c>
      <c r="E500" s="20">
        <v>0</v>
      </c>
      <c r="F500" s="20">
        <v>1</v>
      </c>
      <c r="G500" s="20">
        <v>0</v>
      </c>
      <c r="H500" s="20">
        <v>0</v>
      </c>
      <c r="I500" s="20">
        <v>0</v>
      </c>
      <c r="J500" s="20">
        <v>0</v>
      </c>
      <c r="K500" s="20">
        <v>0</v>
      </c>
      <c r="L500" s="20">
        <v>0</v>
      </c>
      <c r="M500" s="20">
        <v>0</v>
      </c>
      <c r="N500" s="31">
        <v>44829</v>
      </c>
      <c r="O500" s="31">
        <v>44835</v>
      </c>
      <c r="P500" s="24">
        <f t="shared" si="7"/>
        <v>7</v>
      </c>
      <c r="Q500" s="32" t="s">
        <v>31</v>
      </c>
      <c r="R500" s="32" t="s">
        <v>31</v>
      </c>
      <c r="S500" s="32" t="s">
        <v>32</v>
      </c>
      <c r="T500" s="20">
        <v>10890.19</v>
      </c>
      <c r="U500" s="20" t="s">
        <v>69</v>
      </c>
      <c r="V500" s="20" t="s">
        <v>367</v>
      </c>
      <c r="W500" s="20" t="s">
        <v>34</v>
      </c>
      <c r="X500" s="20" t="s">
        <v>368</v>
      </c>
      <c r="Y500" s="26">
        <v>241</v>
      </c>
      <c r="Z500" s="26">
        <v>26.191440558992301</v>
      </c>
      <c r="AA500" s="27" t="s">
        <v>34</v>
      </c>
      <c r="AB500" s="33">
        <v>1</v>
      </c>
      <c r="AC500" s="20">
        <v>1</v>
      </c>
      <c r="AD500" s="28">
        <v>3</v>
      </c>
    </row>
    <row r="501" spans="1:30" ht="14.55" customHeight="1" x14ac:dyDescent="0.4">
      <c r="A501" s="20">
        <v>0</v>
      </c>
      <c r="B501" s="20">
        <v>155</v>
      </c>
      <c r="C501" s="30">
        <v>58</v>
      </c>
      <c r="D501" s="20" t="s">
        <v>38</v>
      </c>
      <c r="E501" s="20">
        <v>0</v>
      </c>
      <c r="F501" s="20">
        <v>1</v>
      </c>
      <c r="G501" s="20">
        <v>0</v>
      </c>
      <c r="H501" s="20">
        <v>0</v>
      </c>
      <c r="I501" s="20">
        <v>0</v>
      </c>
      <c r="J501" s="20">
        <v>1</v>
      </c>
      <c r="K501" s="20">
        <v>0</v>
      </c>
      <c r="L501" s="20">
        <v>0</v>
      </c>
      <c r="M501" s="20">
        <v>0</v>
      </c>
      <c r="N501" s="31">
        <v>44828</v>
      </c>
      <c r="O501" s="31">
        <v>44834</v>
      </c>
      <c r="P501" s="24">
        <f t="shared" si="7"/>
        <v>7</v>
      </c>
      <c r="Q501" s="32" t="s">
        <v>31</v>
      </c>
      <c r="R501" s="32" t="s">
        <v>31</v>
      </c>
      <c r="S501" s="32" t="s">
        <v>32</v>
      </c>
      <c r="T501" s="20">
        <v>8700.73</v>
      </c>
      <c r="U501" s="20" t="s">
        <v>36</v>
      </c>
      <c r="V501" s="20" t="s">
        <v>369</v>
      </c>
      <c r="W501" s="20" t="s">
        <v>34</v>
      </c>
      <c r="X501" s="20" t="s">
        <v>370</v>
      </c>
      <c r="Y501" s="26">
        <v>239</v>
      </c>
      <c r="Z501" s="26">
        <v>25.7331737801433</v>
      </c>
      <c r="AA501" s="27" t="s">
        <v>34</v>
      </c>
      <c r="AB501" s="33">
        <v>1</v>
      </c>
      <c r="AC501" s="20">
        <v>1</v>
      </c>
      <c r="AD501" s="28">
        <v>5</v>
      </c>
    </row>
    <row r="502" spans="1:30" ht="14.55" customHeight="1" x14ac:dyDescent="0.4">
      <c r="A502" s="20">
        <v>0</v>
      </c>
      <c r="B502" s="20">
        <v>156</v>
      </c>
      <c r="C502" s="30">
        <v>60</v>
      </c>
      <c r="D502" s="20" t="s">
        <v>30</v>
      </c>
      <c r="E502" s="20">
        <v>0</v>
      </c>
      <c r="F502" s="20">
        <v>0</v>
      </c>
      <c r="G502" s="20">
        <v>0</v>
      </c>
      <c r="H502" s="20">
        <v>1</v>
      </c>
      <c r="I502" s="20">
        <v>0</v>
      </c>
      <c r="J502" s="20">
        <v>0</v>
      </c>
      <c r="K502" s="20">
        <v>0</v>
      </c>
      <c r="L502" s="20">
        <v>0</v>
      </c>
      <c r="M502" s="20">
        <v>0</v>
      </c>
      <c r="N502" s="31">
        <v>44839</v>
      </c>
      <c r="O502" s="31">
        <v>44854</v>
      </c>
      <c r="P502" s="24">
        <f t="shared" si="7"/>
        <v>16</v>
      </c>
      <c r="Q502" s="32" t="s">
        <v>31</v>
      </c>
      <c r="R502" s="32" t="s">
        <v>31</v>
      </c>
      <c r="S502" s="32" t="s">
        <v>32</v>
      </c>
      <c r="T502" s="20">
        <v>84730.31</v>
      </c>
      <c r="U502" s="20" t="s">
        <v>33</v>
      </c>
      <c r="V502" s="20" t="s">
        <v>371</v>
      </c>
      <c r="W502" s="20" t="s">
        <v>34</v>
      </c>
      <c r="X502" s="20" t="s">
        <v>372</v>
      </c>
      <c r="Y502" s="26">
        <v>43</v>
      </c>
      <c r="Z502" s="26">
        <v>27.9733508434147</v>
      </c>
      <c r="AA502" s="27" t="s">
        <v>34</v>
      </c>
      <c r="AB502" s="33">
        <v>0</v>
      </c>
      <c r="AC502" s="20" t="s">
        <v>31</v>
      </c>
      <c r="AD502" s="28">
        <v>5</v>
      </c>
    </row>
    <row r="503" spans="1:30" ht="14.55" customHeight="1" x14ac:dyDescent="0.4">
      <c r="A503" s="20">
        <v>0</v>
      </c>
      <c r="B503" s="20">
        <v>157</v>
      </c>
      <c r="C503" s="30">
        <v>62</v>
      </c>
      <c r="D503" s="20" t="s">
        <v>38</v>
      </c>
      <c r="E503" s="20">
        <v>0</v>
      </c>
      <c r="F503" s="20">
        <v>1</v>
      </c>
      <c r="G503" s="20">
        <v>0</v>
      </c>
      <c r="H503" s="20">
        <v>0</v>
      </c>
      <c r="I503" s="20">
        <v>0</v>
      </c>
      <c r="J503" s="20">
        <v>0</v>
      </c>
      <c r="K503" s="20">
        <v>0</v>
      </c>
      <c r="L503" s="20">
        <v>0</v>
      </c>
      <c r="M503" s="20">
        <v>0</v>
      </c>
      <c r="N503" s="31">
        <v>44834</v>
      </c>
      <c r="O503" s="31">
        <v>44844</v>
      </c>
      <c r="P503" s="24">
        <f t="shared" si="7"/>
        <v>11</v>
      </c>
      <c r="Q503" s="32" t="s">
        <v>31</v>
      </c>
      <c r="R503" s="32" t="s">
        <v>31</v>
      </c>
      <c r="S503" s="32" t="s">
        <v>32</v>
      </c>
      <c r="T503" s="20">
        <v>8758.89</v>
      </c>
      <c r="U503" s="20" t="s">
        <v>36</v>
      </c>
      <c r="V503" s="20" t="s">
        <v>373</v>
      </c>
      <c r="W503" s="20" t="s">
        <v>374</v>
      </c>
      <c r="X503" s="20" t="s">
        <v>375</v>
      </c>
      <c r="Y503" s="26">
        <v>220</v>
      </c>
      <c r="Z503" s="26">
        <v>26.910240000000002</v>
      </c>
      <c r="AA503" s="27">
        <v>0</v>
      </c>
      <c r="AB503" s="33">
        <v>1</v>
      </c>
      <c r="AC503" s="20">
        <v>1</v>
      </c>
      <c r="AD503" s="28">
        <v>10</v>
      </c>
    </row>
    <row r="504" spans="1:30" ht="14.55" customHeight="1" x14ac:dyDescent="0.4">
      <c r="A504" s="20">
        <v>0</v>
      </c>
      <c r="B504" s="20">
        <v>158</v>
      </c>
      <c r="C504" s="30">
        <v>58</v>
      </c>
      <c r="D504" s="20" t="s">
        <v>38</v>
      </c>
      <c r="E504" s="20">
        <v>0</v>
      </c>
      <c r="F504" s="20">
        <v>1</v>
      </c>
      <c r="G504" s="20">
        <v>0</v>
      </c>
      <c r="H504" s="20">
        <v>0</v>
      </c>
      <c r="I504" s="20">
        <v>0</v>
      </c>
      <c r="J504" s="20">
        <v>0</v>
      </c>
      <c r="K504" s="20">
        <v>0</v>
      </c>
      <c r="L504" s="20">
        <v>0</v>
      </c>
      <c r="M504" s="20">
        <v>0</v>
      </c>
      <c r="N504" s="31">
        <v>44843</v>
      </c>
      <c r="O504" s="31">
        <v>44849</v>
      </c>
      <c r="P504" s="24">
        <f t="shared" si="7"/>
        <v>7</v>
      </c>
      <c r="Q504" s="32" t="s">
        <v>31</v>
      </c>
      <c r="R504" s="32" t="s">
        <v>31</v>
      </c>
      <c r="S504" s="32" t="s">
        <v>32</v>
      </c>
      <c r="T504" s="20">
        <v>7206.79</v>
      </c>
      <c r="U504" s="20" t="s">
        <v>36</v>
      </c>
      <c r="V504" s="20" t="s">
        <v>376</v>
      </c>
      <c r="W504" s="20" t="s">
        <v>34</v>
      </c>
      <c r="X504" s="20" t="s">
        <v>377</v>
      </c>
      <c r="Y504" s="26">
        <v>215</v>
      </c>
      <c r="Z504" s="26">
        <v>26.4728446025401</v>
      </c>
      <c r="AA504" s="27" t="s">
        <v>34</v>
      </c>
      <c r="AB504" s="33">
        <v>1</v>
      </c>
      <c r="AC504" s="20">
        <v>1</v>
      </c>
      <c r="AD504" s="28">
        <v>4</v>
      </c>
    </row>
    <row r="505" spans="1:30" ht="14.55" customHeight="1" x14ac:dyDescent="0.4">
      <c r="A505" s="20">
        <v>0</v>
      </c>
      <c r="B505" s="20">
        <v>159</v>
      </c>
      <c r="C505" s="30">
        <v>65</v>
      </c>
      <c r="D505" s="20" t="s">
        <v>38</v>
      </c>
      <c r="E505" s="20">
        <v>0</v>
      </c>
      <c r="F505" s="20">
        <v>1</v>
      </c>
      <c r="G505" s="20">
        <v>0</v>
      </c>
      <c r="H505" s="20">
        <v>0</v>
      </c>
      <c r="I505" s="20">
        <v>0</v>
      </c>
      <c r="J505" s="20">
        <v>0</v>
      </c>
      <c r="K505" s="20">
        <v>0</v>
      </c>
      <c r="L505" s="20">
        <v>0</v>
      </c>
      <c r="M505" s="20">
        <v>0</v>
      </c>
      <c r="N505" s="31">
        <v>44838</v>
      </c>
      <c r="O505" s="31">
        <v>44851</v>
      </c>
      <c r="P505" s="24">
        <f t="shared" si="7"/>
        <v>14</v>
      </c>
      <c r="Q505" s="32" t="s">
        <v>31</v>
      </c>
      <c r="R505" s="32" t="s">
        <v>31</v>
      </c>
      <c r="S505" s="32" t="s">
        <v>32</v>
      </c>
      <c r="T505" s="20">
        <v>12785.54</v>
      </c>
      <c r="U505" s="20" t="s">
        <v>36</v>
      </c>
      <c r="V505" s="20" t="s">
        <v>378</v>
      </c>
      <c r="W505" s="20" t="s">
        <v>34</v>
      </c>
      <c r="X505" s="20" t="s">
        <v>379</v>
      </c>
      <c r="Y505" s="26">
        <v>238</v>
      </c>
      <c r="Z505" s="26">
        <v>24.824979037977801</v>
      </c>
      <c r="AA505" s="27" t="s">
        <v>34</v>
      </c>
      <c r="AB505" s="33">
        <v>0</v>
      </c>
      <c r="AC505" s="20" t="s">
        <v>31</v>
      </c>
      <c r="AD505" s="28">
        <v>11</v>
      </c>
    </row>
    <row r="506" spans="1:30" ht="14.55" customHeight="1" x14ac:dyDescent="0.4">
      <c r="A506" s="20">
        <v>0</v>
      </c>
      <c r="B506" s="20">
        <v>160</v>
      </c>
      <c r="C506" s="30">
        <v>67</v>
      </c>
      <c r="D506" s="20" t="s">
        <v>30</v>
      </c>
      <c r="E506" s="20">
        <v>0</v>
      </c>
      <c r="F506" s="20">
        <v>0</v>
      </c>
      <c r="G506" s="20">
        <v>0</v>
      </c>
      <c r="H506" s="20">
        <v>1</v>
      </c>
      <c r="I506" s="20">
        <v>0</v>
      </c>
      <c r="J506" s="20">
        <v>0</v>
      </c>
      <c r="K506" s="20">
        <v>0</v>
      </c>
      <c r="L506" s="20">
        <v>0</v>
      </c>
      <c r="M506" s="20">
        <v>0</v>
      </c>
      <c r="N506" s="31">
        <v>44848</v>
      </c>
      <c r="O506" s="31">
        <v>44855</v>
      </c>
      <c r="P506" s="24">
        <f t="shared" si="7"/>
        <v>8</v>
      </c>
      <c r="Q506" s="32" t="s">
        <v>31</v>
      </c>
      <c r="R506" s="32" t="s">
        <v>31</v>
      </c>
      <c r="S506" s="32" t="s">
        <v>32</v>
      </c>
      <c r="T506" s="20">
        <v>9840.4699999999993</v>
      </c>
      <c r="U506" s="20" t="s">
        <v>40</v>
      </c>
      <c r="V506" s="20" t="s">
        <v>380</v>
      </c>
      <c r="W506" s="20" t="s">
        <v>34</v>
      </c>
      <c r="X506" s="20" t="s">
        <v>381</v>
      </c>
      <c r="Y506" s="26">
        <v>238</v>
      </c>
      <c r="Z506" s="26">
        <v>26.141114092432002</v>
      </c>
      <c r="AA506" s="27" t="s">
        <v>34</v>
      </c>
      <c r="AB506" s="33">
        <v>0</v>
      </c>
      <c r="AC506" s="20" t="s">
        <v>31</v>
      </c>
      <c r="AD506" s="28">
        <v>4</v>
      </c>
    </row>
    <row r="507" spans="1:30" ht="14.55" customHeight="1" x14ac:dyDescent="0.4">
      <c r="A507" s="20">
        <v>0</v>
      </c>
      <c r="B507" s="20">
        <v>161</v>
      </c>
      <c r="C507" s="30">
        <v>60</v>
      </c>
      <c r="D507" s="20" t="s">
        <v>30</v>
      </c>
      <c r="E507" s="20">
        <v>0</v>
      </c>
      <c r="F507" s="20">
        <v>0</v>
      </c>
      <c r="G507" s="20">
        <v>0</v>
      </c>
      <c r="H507" s="20">
        <v>1</v>
      </c>
      <c r="I507" s="20">
        <v>0</v>
      </c>
      <c r="J507" s="20">
        <v>0</v>
      </c>
      <c r="K507" s="20">
        <v>0</v>
      </c>
      <c r="L507" s="20">
        <v>0</v>
      </c>
      <c r="M507" s="20">
        <v>0</v>
      </c>
      <c r="N507" s="31">
        <v>44854</v>
      </c>
      <c r="O507" s="31">
        <v>44863</v>
      </c>
      <c r="P507" s="24">
        <f t="shared" si="7"/>
        <v>10</v>
      </c>
      <c r="Q507" s="32" t="s">
        <v>31</v>
      </c>
      <c r="R507" s="32" t="s">
        <v>31</v>
      </c>
      <c r="S507" s="32" t="s">
        <v>32</v>
      </c>
      <c r="T507" s="20">
        <v>8880.75</v>
      </c>
      <c r="U507" s="20" t="s">
        <v>69</v>
      </c>
      <c r="V507" s="20" t="s">
        <v>382</v>
      </c>
      <c r="W507" s="20" t="s">
        <v>34</v>
      </c>
      <c r="X507" s="20" t="s">
        <v>383</v>
      </c>
      <c r="Y507" s="26">
        <v>92</v>
      </c>
      <c r="Z507" s="26">
        <v>24.161095035262399</v>
      </c>
      <c r="AA507" s="27" t="s">
        <v>34</v>
      </c>
      <c r="AB507" s="33">
        <v>1</v>
      </c>
      <c r="AC507" s="20">
        <v>1</v>
      </c>
      <c r="AD507" s="28">
        <v>5</v>
      </c>
    </row>
    <row r="508" spans="1:30" ht="14.55" customHeight="1" x14ac:dyDescent="0.4">
      <c r="A508" s="20">
        <v>0</v>
      </c>
      <c r="B508" s="20">
        <v>162</v>
      </c>
      <c r="C508" s="30">
        <v>57</v>
      </c>
      <c r="D508" s="20" t="s">
        <v>30</v>
      </c>
      <c r="E508" s="20">
        <v>0</v>
      </c>
      <c r="F508" s="20">
        <v>0</v>
      </c>
      <c r="G508" s="20">
        <v>0</v>
      </c>
      <c r="H508" s="20">
        <v>0</v>
      </c>
      <c r="I508" s="20">
        <v>0</v>
      </c>
      <c r="J508" s="20">
        <v>0</v>
      </c>
      <c r="K508" s="20">
        <v>0</v>
      </c>
      <c r="L508" s="20">
        <v>0</v>
      </c>
      <c r="M508" s="20">
        <v>0</v>
      </c>
      <c r="N508" s="31">
        <v>44851</v>
      </c>
      <c r="O508" s="31">
        <v>44862</v>
      </c>
      <c r="P508" s="24">
        <f t="shared" si="7"/>
        <v>12</v>
      </c>
      <c r="Q508" s="32" t="s">
        <v>31</v>
      </c>
      <c r="R508" s="32" t="s">
        <v>31</v>
      </c>
      <c r="S508" s="32" t="s">
        <v>32</v>
      </c>
      <c r="T508" s="20">
        <v>16658.650000000001</v>
      </c>
      <c r="U508" s="20" t="s">
        <v>33</v>
      </c>
      <c r="V508" s="20" t="s">
        <v>384</v>
      </c>
      <c r="W508" s="20" t="s">
        <v>34</v>
      </c>
      <c r="X508" s="20" t="s">
        <v>385</v>
      </c>
      <c r="Y508" s="26">
        <v>214</v>
      </c>
      <c r="Z508" s="26">
        <v>26.317108275368799</v>
      </c>
      <c r="AA508" s="27" t="s">
        <v>34</v>
      </c>
      <c r="AB508" s="33">
        <v>1</v>
      </c>
      <c r="AC508" s="20">
        <v>1</v>
      </c>
      <c r="AD508" s="28">
        <v>11</v>
      </c>
    </row>
    <row r="509" spans="1:30" ht="14.55" customHeight="1" x14ac:dyDescent="0.4">
      <c r="A509" s="20">
        <v>0</v>
      </c>
      <c r="B509" s="20">
        <v>163</v>
      </c>
      <c r="C509" s="30">
        <v>60</v>
      </c>
      <c r="D509" s="20" t="s">
        <v>38</v>
      </c>
      <c r="E509" s="20">
        <v>0</v>
      </c>
      <c r="F509" s="20">
        <v>1</v>
      </c>
      <c r="G509" s="20">
        <v>0</v>
      </c>
      <c r="H509" s="20">
        <v>0</v>
      </c>
      <c r="I509" s="20">
        <v>0</v>
      </c>
      <c r="J509" s="20">
        <v>0</v>
      </c>
      <c r="K509" s="20">
        <v>0</v>
      </c>
      <c r="L509" s="20">
        <v>0</v>
      </c>
      <c r="M509" s="20">
        <v>0</v>
      </c>
      <c r="N509" s="31">
        <v>44865</v>
      </c>
      <c r="O509" s="31">
        <v>44874</v>
      </c>
      <c r="P509" s="24">
        <f t="shared" si="7"/>
        <v>10</v>
      </c>
      <c r="Q509" s="32" t="s">
        <v>31</v>
      </c>
      <c r="R509" s="32" t="s">
        <v>31</v>
      </c>
      <c r="S509" s="32" t="s">
        <v>32</v>
      </c>
      <c r="T509" s="20">
        <v>15594.14</v>
      </c>
      <c r="U509" s="20" t="s">
        <v>36</v>
      </c>
      <c r="V509" s="20" t="s">
        <v>386</v>
      </c>
      <c r="W509" s="20" t="s">
        <v>169</v>
      </c>
      <c r="X509" s="20" t="s">
        <v>387</v>
      </c>
      <c r="Y509" s="26">
        <v>1386</v>
      </c>
      <c r="Z509" s="26">
        <v>24.422650000000001</v>
      </c>
      <c r="AA509" s="27">
        <v>1</v>
      </c>
      <c r="AB509" s="33">
        <v>1</v>
      </c>
      <c r="AC509" s="20">
        <v>1</v>
      </c>
      <c r="AD509" s="28">
        <v>3</v>
      </c>
    </row>
    <row r="510" spans="1:30" ht="14.55" customHeight="1" x14ac:dyDescent="0.4">
      <c r="A510" s="20">
        <v>0</v>
      </c>
      <c r="B510" s="20">
        <v>164</v>
      </c>
      <c r="C510" s="30">
        <v>58</v>
      </c>
      <c r="D510" s="20" t="s">
        <v>38</v>
      </c>
      <c r="E510" s="20">
        <v>1</v>
      </c>
      <c r="F510" s="20">
        <v>1</v>
      </c>
      <c r="G510" s="20">
        <v>0</v>
      </c>
      <c r="H510" s="20">
        <v>0</v>
      </c>
      <c r="I510" s="20">
        <v>0</v>
      </c>
      <c r="J510" s="20">
        <v>0</v>
      </c>
      <c r="K510" s="20">
        <v>0</v>
      </c>
      <c r="L510" s="20">
        <v>0</v>
      </c>
      <c r="M510" s="20">
        <v>0</v>
      </c>
      <c r="N510" s="31">
        <v>44868</v>
      </c>
      <c r="O510" s="31">
        <v>44876</v>
      </c>
      <c r="P510" s="24">
        <f t="shared" si="7"/>
        <v>9</v>
      </c>
      <c r="Q510" s="32" t="s">
        <v>31</v>
      </c>
      <c r="R510" s="32" t="s">
        <v>31</v>
      </c>
      <c r="S510" s="32" t="s">
        <v>32</v>
      </c>
      <c r="T510" s="20">
        <v>9989.56</v>
      </c>
      <c r="U510" s="20" t="s">
        <v>36</v>
      </c>
      <c r="V510" s="20" t="s">
        <v>388</v>
      </c>
      <c r="W510" s="20" t="s">
        <v>34</v>
      </c>
      <c r="X510" s="20" t="s">
        <v>389</v>
      </c>
      <c r="Y510" s="26">
        <v>238</v>
      </c>
      <c r="Z510" s="26">
        <v>24.982914642430799</v>
      </c>
      <c r="AA510" s="27" t="s">
        <v>34</v>
      </c>
      <c r="AB510" s="33">
        <v>1</v>
      </c>
      <c r="AC510" s="20">
        <v>1</v>
      </c>
      <c r="AD510" s="28">
        <v>5</v>
      </c>
    </row>
    <row r="511" spans="1:30" ht="14.55" customHeight="1" x14ac:dyDescent="0.4">
      <c r="A511" s="20">
        <v>0</v>
      </c>
      <c r="B511" s="20">
        <v>165</v>
      </c>
      <c r="C511" s="30">
        <v>58</v>
      </c>
      <c r="D511" s="20" t="s">
        <v>30</v>
      </c>
      <c r="E511" s="20">
        <v>0</v>
      </c>
      <c r="F511" s="20">
        <v>1</v>
      </c>
      <c r="G511" s="20">
        <v>0</v>
      </c>
      <c r="H511" s="20">
        <v>0</v>
      </c>
      <c r="I511" s="20">
        <v>0</v>
      </c>
      <c r="J511" s="20">
        <v>1</v>
      </c>
      <c r="K511" s="20">
        <v>0</v>
      </c>
      <c r="L511" s="20">
        <v>0</v>
      </c>
      <c r="M511" s="20">
        <v>0</v>
      </c>
      <c r="N511" s="31">
        <v>44872</v>
      </c>
      <c r="O511" s="31">
        <v>44877</v>
      </c>
      <c r="P511" s="24">
        <f t="shared" si="7"/>
        <v>6</v>
      </c>
      <c r="Q511" s="32" t="s">
        <v>31</v>
      </c>
      <c r="R511" s="32" t="s">
        <v>31</v>
      </c>
      <c r="S511" s="32" t="s">
        <v>32</v>
      </c>
      <c r="T511" s="20">
        <v>7798.86</v>
      </c>
      <c r="U511" s="20" t="s">
        <v>36</v>
      </c>
      <c r="V511" s="20" t="s">
        <v>390</v>
      </c>
      <c r="W511" s="20" t="s">
        <v>34</v>
      </c>
      <c r="X511" s="20" t="s">
        <v>391</v>
      </c>
      <c r="Y511" s="26">
        <v>1388</v>
      </c>
      <c r="Z511" s="26">
        <v>26.452211404219302</v>
      </c>
      <c r="AA511" s="27" t="s">
        <v>34</v>
      </c>
      <c r="AB511" s="33">
        <v>0</v>
      </c>
      <c r="AC511" s="20" t="s">
        <v>31</v>
      </c>
      <c r="AD511" s="28">
        <v>3</v>
      </c>
    </row>
    <row r="512" spans="1:30" ht="14.55" customHeight="1" x14ac:dyDescent="0.4">
      <c r="A512" s="20">
        <v>0</v>
      </c>
      <c r="B512" s="20">
        <v>166</v>
      </c>
      <c r="C512" s="30">
        <v>60</v>
      </c>
      <c r="D512" s="20" t="s">
        <v>38</v>
      </c>
      <c r="E512" s="20">
        <v>0</v>
      </c>
      <c r="F512" s="20">
        <v>0</v>
      </c>
      <c r="G512" s="20">
        <v>0</v>
      </c>
      <c r="H512" s="20">
        <v>0</v>
      </c>
      <c r="I512" s="20">
        <v>0</v>
      </c>
      <c r="J512" s="20">
        <v>0</v>
      </c>
      <c r="K512" s="20">
        <v>0</v>
      </c>
      <c r="L512" s="20">
        <v>0</v>
      </c>
      <c r="M512" s="20">
        <v>0</v>
      </c>
      <c r="N512" s="31">
        <v>44902</v>
      </c>
      <c r="O512" s="31">
        <v>44910</v>
      </c>
      <c r="P512" s="24">
        <f t="shared" si="7"/>
        <v>9</v>
      </c>
      <c r="Q512" s="32" t="s">
        <v>31</v>
      </c>
      <c r="R512" s="32" t="s">
        <v>31</v>
      </c>
      <c r="S512" s="32" t="s">
        <v>32</v>
      </c>
      <c r="T512" s="20">
        <v>16809.97</v>
      </c>
      <c r="U512" s="20" t="s">
        <v>36</v>
      </c>
      <c r="V512" s="20" t="s">
        <v>392</v>
      </c>
      <c r="W512" s="20" t="s">
        <v>34</v>
      </c>
      <c r="X512" s="20" t="s">
        <v>393</v>
      </c>
      <c r="Y512" s="26">
        <v>1466</v>
      </c>
      <c r="Z512" s="26">
        <v>27.254455980844799</v>
      </c>
      <c r="AA512" s="27" t="s">
        <v>34</v>
      </c>
      <c r="AB512" s="33">
        <v>1</v>
      </c>
      <c r="AC512" s="20">
        <v>1</v>
      </c>
      <c r="AD512" s="28">
        <v>6</v>
      </c>
    </row>
    <row r="513" spans="1:30" ht="14.55" customHeight="1" x14ac:dyDescent="0.4">
      <c r="A513" s="20">
        <v>0</v>
      </c>
      <c r="B513" s="20">
        <v>167</v>
      </c>
      <c r="C513" s="30">
        <v>62</v>
      </c>
      <c r="D513" s="20" t="s">
        <v>30</v>
      </c>
      <c r="E513" s="20">
        <v>0</v>
      </c>
      <c r="F513" s="20">
        <v>0</v>
      </c>
      <c r="G513" s="20">
        <v>0</v>
      </c>
      <c r="H513" s="20">
        <v>0</v>
      </c>
      <c r="I513" s="20">
        <v>0</v>
      </c>
      <c r="J513" s="20">
        <v>0</v>
      </c>
      <c r="K513" s="20">
        <v>0</v>
      </c>
      <c r="L513" s="20">
        <v>0</v>
      </c>
      <c r="M513" s="20">
        <v>0</v>
      </c>
      <c r="N513" s="31">
        <v>44903</v>
      </c>
      <c r="O513" s="31">
        <v>44913</v>
      </c>
      <c r="P513" s="24">
        <f t="shared" si="7"/>
        <v>11</v>
      </c>
      <c r="Q513" s="32" t="s">
        <v>394</v>
      </c>
      <c r="R513" s="32" t="s">
        <v>395</v>
      </c>
      <c r="S513" s="32" t="s">
        <v>143</v>
      </c>
      <c r="T513" s="20">
        <v>23150.87</v>
      </c>
      <c r="U513" s="20" t="s">
        <v>36</v>
      </c>
      <c r="V513" s="20" t="s">
        <v>396</v>
      </c>
      <c r="W513" s="20" t="s">
        <v>34</v>
      </c>
      <c r="X513" s="20" t="s">
        <v>397</v>
      </c>
      <c r="Y513" s="26">
        <v>1486</v>
      </c>
      <c r="Z513" s="26">
        <v>25.128534459509002</v>
      </c>
      <c r="AA513" s="27" t="s">
        <v>34</v>
      </c>
      <c r="AB513" s="33">
        <v>1</v>
      </c>
      <c r="AC513" s="20">
        <v>1</v>
      </c>
      <c r="AD513" s="28">
        <v>6</v>
      </c>
    </row>
    <row r="514" spans="1:30" ht="14.55" customHeight="1" x14ac:dyDescent="0.4">
      <c r="A514" s="20">
        <v>0</v>
      </c>
      <c r="B514" s="20">
        <v>168</v>
      </c>
      <c r="C514" s="30">
        <v>56</v>
      </c>
      <c r="D514" s="20" t="s">
        <v>30</v>
      </c>
      <c r="E514" s="20">
        <v>0</v>
      </c>
      <c r="F514" s="20">
        <v>1</v>
      </c>
      <c r="G514" s="20">
        <v>0</v>
      </c>
      <c r="H514" s="20">
        <v>0</v>
      </c>
      <c r="I514" s="20">
        <v>0</v>
      </c>
      <c r="J514" s="20">
        <v>0</v>
      </c>
      <c r="K514" s="20">
        <v>0</v>
      </c>
      <c r="L514" s="20">
        <v>0</v>
      </c>
      <c r="M514" s="20">
        <v>0</v>
      </c>
      <c r="N514" s="31">
        <v>44908</v>
      </c>
      <c r="O514" s="31">
        <v>44917</v>
      </c>
      <c r="P514" s="24">
        <f t="shared" si="7"/>
        <v>10</v>
      </c>
      <c r="Q514" s="32" t="s">
        <v>31</v>
      </c>
      <c r="R514" s="32" t="s">
        <v>31</v>
      </c>
      <c r="S514" s="32" t="s">
        <v>32</v>
      </c>
      <c r="T514" s="26">
        <v>12651.6</v>
      </c>
      <c r="U514" s="20" t="s">
        <v>40</v>
      </c>
      <c r="V514" s="20" t="s">
        <v>398</v>
      </c>
      <c r="W514" s="20" t="s">
        <v>34</v>
      </c>
      <c r="X514" s="20" t="s">
        <v>399</v>
      </c>
      <c r="Y514" s="26">
        <v>1482</v>
      </c>
      <c r="Z514" s="26">
        <v>24.474320579320199</v>
      </c>
      <c r="AA514" s="27" t="s">
        <v>34</v>
      </c>
      <c r="AB514" s="33">
        <v>0</v>
      </c>
      <c r="AC514" s="20" t="s">
        <v>31</v>
      </c>
      <c r="AD514" s="28">
        <v>4</v>
      </c>
    </row>
    <row r="515" spans="1:30" ht="14.55" customHeight="1" x14ac:dyDescent="0.4">
      <c r="A515" s="20">
        <v>0</v>
      </c>
      <c r="B515" s="20">
        <v>170</v>
      </c>
      <c r="C515" s="30">
        <v>64</v>
      </c>
      <c r="D515" s="20" t="s">
        <v>30</v>
      </c>
      <c r="E515" s="20">
        <v>0</v>
      </c>
      <c r="F515" s="20">
        <v>1</v>
      </c>
      <c r="G515" s="20">
        <v>1</v>
      </c>
      <c r="H515" s="20">
        <v>0</v>
      </c>
      <c r="I515" s="20">
        <v>0</v>
      </c>
      <c r="J515" s="20">
        <v>0</v>
      </c>
      <c r="K515" s="20">
        <v>0</v>
      </c>
      <c r="L515" s="20">
        <v>1</v>
      </c>
      <c r="M515" s="20">
        <v>0</v>
      </c>
      <c r="N515" s="31">
        <v>44961</v>
      </c>
      <c r="O515" s="31">
        <v>44971</v>
      </c>
      <c r="P515" s="24">
        <f t="shared" ref="P515:P523" si="8">O515-N515+1</f>
        <v>11</v>
      </c>
      <c r="Q515" s="32" t="s">
        <v>31</v>
      </c>
      <c r="R515" s="32" t="s">
        <v>31</v>
      </c>
      <c r="S515" s="32" t="s">
        <v>32</v>
      </c>
      <c r="T515" s="20">
        <v>15629.52</v>
      </c>
      <c r="U515" s="20" t="s">
        <v>69</v>
      </c>
      <c r="V515" s="20" t="s">
        <v>400</v>
      </c>
      <c r="W515" s="20" t="s">
        <v>94</v>
      </c>
      <c r="X515" s="20" t="s">
        <v>401</v>
      </c>
      <c r="Y515" s="26">
        <v>48</v>
      </c>
      <c r="Z515" s="26">
        <v>27.228400000000001</v>
      </c>
      <c r="AA515" s="27">
        <v>0</v>
      </c>
      <c r="AB515" s="33">
        <v>1</v>
      </c>
      <c r="AC515" s="20">
        <v>1</v>
      </c>
      <c r="AD515" s="28">
        <v>4</v>
      </c>
    </row>
    <row r="516" spans="1:30" ht="14.55" customHeight="1" x14ac:dyDescent="0.4">
      <c r="A516" s="20">
        <v>0</v>
      </c>
      <c r="B516" s="20">
        <v>171</v>
      </c>
      <c r="C516" s="30">
        <v>68</v>
      </c>
      <c r="D516" s="20" t="s">
        <v>38</v>
      </c>
      <c r="E516" s="20">
        <v>1</v>
      </c>
      <c r="F516" s="20">
        <v>1</v>
      </c>
      <c r="G516" s="20">
        <v>0</v>
      </c>
      <c r="H516" s="20">
        <v>1</v>
      </c>
      <c r="I516" s="20">
        <v>1</v>
      </c>
      <c r="J516" s="20">
        <v>0</v>
      </c>
      <c r="K516" s="20">
        <v>1</v>
      </c>
      <c r="L516" s="20">
        <v>0</v>
      </c>
      <c r="M516" s="20">
        <v>0</v>
      </c>
      <c r="N516" s="31">
        <v>44961</v>
      </c>
      <c r="O516" s="31">
        <v>44976</v>
      </c>
      <c r="P516" s="24">
        <f t="shared" si="8"/>
        <v>16</v>
      </c>
      <c r="Q516" s="32" t="s">
        <v>31</v>
      </c>
      <c r="R516" s="32" t="s">
        <v>31</v>
      </c>
      <c r="S516" s="32" t="s">
        <v>32</v>
      </c>
      <c r="T516" s="20">
        <v>15419.46</v>
      </c>
      <c r="U516" s="20" t="s">
        <v>36</v>
      </c>
      <c r="V516" s="20" t="s">
        <v>402</v>
      </c>
      <c r="W516" s="20" t="s">
        <v>157</v>
      </c>
      <c r="X516" s="20" t="s">
        <v>34</v>
      </c>
      <c r="Y516" s="26">
        <v>144</v>
      </c>
      <c r="Z516" s="26">
        <v>26.64311</v>
      </c>
      <c r="AA516" s="27">
        <v>1</v>
      </c>
      <c r="AB516" s="33" t="s">
        <v>34</v>
      </c>
      <c r="AC516" s="20" t="s">
        <v>31</v>
      </c>
      <c r="AD516" s="28">
        <v>5</v>
      </c>
    </row>
    <row r="517" spans="1:30" ht="14.55" customHeight="1" x14ac:dyDescent="0.4">
      <c r="A517" s="20">
        <v>0</v>
      </c>
      <c r="B517" s="20">
        <v>172</v>
      </c>
      <c r="C517" s="30">
        <v>66</v>
      </c>
      <c r="D517" s="20" t="s">
        <v>38</v>
      </c>
      <c r="E517" s="20">
        <v>1</v>
      </c>
      <c r="F517" s="20">
        <v>1</v>
      </c>
      <c r="G517" s="20">
        <v>0</v>
      </c>
      <c r="H517" s="20">
        <v>1</v>
      </c>
      <c r="I517" s="20">
        <v>0</v>
      </c>
      <c r="J517" s="20">
        <v>0</v>
      </c>
      <c r="K517" s="20">
        <v>0</v>
      </c>
      <c r="L517" s="20">
        <v>0</v>
      </c>
      <c r="M517" s="20">
        <v>0</v>
      </c>
      <c r="N517" s="31">
        <v>44988</v>
      </c>
      <c r="O517" s="31">
        <v>44999</v>
      </c>
      <c r="P517" s="24">
        <f t="shared" si="8"/>
        <v>12</v>
      </c>
      <c r="Q517" s="32" t="s">
        <v>31</v>
      </c>
      <c r="R517" s="32" t="s">
        <v>31</v>
      </c>
      <c r="S517" s="32" t="s">
        <v>32</v>
      </c>
      <c r="T517" s="20">
        <v>8347.68</v>
      </c>
      <c r="U517" s="20" t="s">
        <v>36</v>
      </c>
      <c r="V517" s="20" t="s">
        <v>403</v>
      </c>
      <c r="W517" s="20" t="s">
        <v>94</v>
      </c>
      <c r="X517" s="20" t="s">
        <v>34</v>
      </c>
      <c r="Y517" s="26">
        <v>165</v>
      </c>
      <c r="Z517" s="26">
        <v>25.27094</v>
      </c>
      <c r="AA517" s="27">
        <v>0</v>
      </c>
      <c r="AB517" s="33" t="s">
        <v>34</v>
      </c>
      <c r="AC517" s="20" t="s">
        <v>31</v>
      </c>
      <c r="AD517" s="28">
        <v>7</v>
      </c>
    </row>
    <row r="518" spans="1:30" ht="14.55" customHeight="1" x14ac:dyDescent="0.4">
      <c r="A518" s="20">
        <v>0</v>
      </c>
      <c r="B518" s="20">
        <v>173</v>
      </c>
      <c r="C518" s="30">
        <v>63</v>
      </c>
      <c r="D518" s="20" t="s">
        <v>30</v>
      </c>
      <c r="E518" s="20">
        <v>0</v>
      </c>
      <c r="F518" s="20">
        <v>1</v>
      </c>
      <c r="G518" s="20">
        <v>0</v>
      </c>
      <c r="H518" s="20">
        <v>0</v>
      </c>
      <c r="I518" s="20">
        <v>0</v>
      </c>
      <c r="J518" s="20">
        <v>0</v>
      </c>
      <c r="K518" s="20">
        <v>0</v>
      </c>
      <c r="L518" s="20">
        <v>0</v>
      </c>
      <c r="M518" s="20">
        <v>0</v>
      </c>
      <c r="N518" s="31">
        <v>44989</v>
      </c>
      <c r="O518" s="31">
        <v>44997</v>
      </c>
      <c r="P518" s="24">
        <f t="shared" si="8"/>
        <v>9</v>
      </c>
      <c r="Q518" s="32" t="s">
        <v>31</v>
      </c>
      <c r="R518" s="32" t="s">
        <v>31</v>
      </c>
      <c r="S518" s="32" t="s">
        <v>32</v>
      </c>
      <c r="T518" s="20">
        <v>8568.09</v>
      </c>
      <c r="U518" s="20" t="s">
        <v>40</v>
      </c>
      <c r="V518" s="20" t="s">
        <v>404</v>
      </c>
      <c r="W518" s="20" t="s">
        <v>34</v>
      </c>
      <c r="X518" s="20" t="s">
        <v>405</v>
      </c>
      <c r="Y518" s="26">
        <v>240</v>
      </c>
      <c r="Z518" s="26">
        <v>25.825982823967902</v>
      </c>
      <c r="AA518" s="27" t="s">
        <v>34</v>
      </c>
      <c r="AB518" s="33">
        <v>0</v>
      </c>
      <c r="AC518" s="20" t="s">
        <v>31</v>
      </c>
      <c r="AD518" s="28">
        <v>6</v>
      </c>
    </row>
    <row r="519" spans="1:30" ht="14.55" customHeight="1" x14ac:dyDescent="0.4">
      <c r="A519" s="20">
        <v>0</v>
      </c>
      <c r="B519" s="20">
        <v>174</v>
      </c>
      <c r="C519" s="30">
        <v>67</v>
      </c>
      <c r="D519" s="20" t="s">
        <v>38</v>
      </c>
      <c r="E519" s="20">
        <v>1</v>
      </c>
      <c r="F519" s="20">
        <v>1</v>
      </c>
      <c r="G519" s="20">
        <v>0</v>
      </c>
      <c r="H519" s="20">
        <v>0</v>
      </c>
      <c r="I519" s="20">
        <v>0</v>
      </c>
      <c r="J519" s="20">
        <v>0</v>
      </c>
      <c r="K519" s="20">
        <v>0</v>
      </c>
      <c r="L519" s="20">
        <v>0</v>
      </c>
      <c r="M519" s="20">
        <v>0</v>
      </c>
      <c r="N519" s="31">
        <v>44994</v>
      </c>
      <c r="O519" s="31">
        <v>45000</v>
      </c>
      <c r="P519" s="24">
        <f t="shared" si="8"/>
        <v>7</v>
      </c>
      <c r="Q519" s="32" t="s">
        <v>31</v>
      </c>
      <c r="R519" s="32" t="s">
        <v>31</v>
      </c>
      <c r="S519" s="32" t="s">
        <v>32</v>
      </c>
      <c r="T519" s="20">
        <v>8763.73</v>
      </c>
      <c r="U519" s="20" t="s">
        <v>36</v>
      </c>
      <c r="V519" s="20" t="s">
        <v>406</v>
      </c>
      <c r="W519" s="20" t="s">
        <v>34</v>
      </c>
      <c r="X519" s="20" t="s">
        <v>177</v>
      </c>
      <c r="Y519" s="26">
        <v>234</v>
      </c>
      <c r="Z519" s="26">
        <v>24.6702034724876</v>
      </c>
      <c r="AA519" s="27" t="s">
        <v>34</v>
      </c>
      <c r="AB519" s="33">
        <v>1</v>
      </c>
      <c r="AC519" s="20">
        <v>1</v>
      </c>
      <c r="AD519" s="28">
        <v>3</v>
      </c>
    </row>
    <row r="520" spans="1:30" ht="14.55" customHeight="1" x14ac:dyDescent="0.4">
      <c r="A520" s="20">
        <v>0</v>
      </c>
      <c r="B520" s="20">
        <v>175</v>
      </c>
      <c r="C520" s="30">
        <v>65</v>
      </c>
      <c r="D520" s="20" t="s">
        <v>30</v>
      </c>
      <c r="E520" s="20">
        <v>1</v>
      </c>
      <c r="F520" s="20">
        <v>1</v>
      </c>
      <c r="G520" s="20">
        <v>0</v>
      </c>
      <c r="H520" s="20">
        <v>0</v>
      </c>
      <c r="I520" s="20">
        <v>0</v>
      </c>
      <c r="J520" s="20">
        <v>0</v>
      </c>
      <c r="K520" s="20">
        <v>0</v>
      </c>
      <c r="L520" s="20">
        <v>0</v>
      </c>
      <c r="M520" s="20">
        <v>0</v>
      </c>
      <c r="N520" s="31">
        <v>44994</v>
      </c>
      <c r="O520" s="31">
        <v>45013</v>
      </c>
      <c r="P520" s="24">
        <f t="shared" si="8"/>
        <v>20</v>
      </c>
      <c r="Q520" s="32" t="s">
        <v>31</v>
      </c>
      <c r="R520" s="32" t="s">
        <v>31</v>
      </c>
      <c r="S520" s="32" t="s">
        <v>32</v>
      </c>
      <c r="T520" s="20">
        <v>14573.23</v>
      </c>
      <c r="U520" s="20" t="s">
        <v>36</v>
      </c>
      <c r="V520" s="20" t="s">
        <v>407</v>
      </c>
      <c r="W520" s="20" t="s">
        <v>34</v>
      </c>
      <c r="X520" s="20" t="s">
        <v>408</v>
      </c>
      <c r="Y520" s="26">
        <v>237</v>
      </c>
      <c r="Z520" s="26">
        <v>24.327533249743301</v>
      </c>
      <c r="AA520" s="27" t="s">
        <v>34</v>
      </c>
      <c r="AB520" s="33">
        <v>0</v>
      </c>
      <c r="AC520" s="20" t="s">
        <v>31</v>
      </c>
      <c r="AD520" s="28">
        <v>14</v>
      </c>
    </row>
    <row r="521" spans="1:30" ht="14.55" customHeight="1" x14ac:dyDescent="0.4">
      <c r="A521" s="20">
        <v>0</v>
      </c>
      <c r="B521" s="20">
        <v>176</v>
      </c>
      <c r="C521" s="30">
        <v>56</v>
      </c>
      <c r="D521" s="20" t="s">
        <v>30</v>
      </c>
      <c r="E521" s="20">
        <v>0</v>
      </c>
      <c r="F521" s="20">
        <v>1</v>
      </c>
      <c r="G521" s="20">
        <v>0</v>
      </c>
      <c r="H521" s="20">
        <v>0</v>
      </c>
      <c r="I521" s="20">
        <v>0</v>
      </c>
      <c r="J521" s="20">
        <v>1</v>
      </c>
      <c r="K521" s="20">
        <v>0</v>
      </c>
      <c r="L521" s="20">
        <v>0</v>
      </c>
      <c r="M521" s="20">
        <v>0</v>
      </c>
      <c r="N521" s="31">
        <v>45009</v>
      </c>
      <c r="O521" s="31">
        <v>45016</v>
      </c>
      <c r="P521" s="24">
        <f t="shared" si="8"/>
        <v>8</v>
      </c>
      <c r="Q521" s="32" t="s">
        <v>31</v>
      </c>
      <c r="R521" s="32" t="s">
        <v>31</v>
      </c>
      <c r="S521" s="32" t="s">
        <v>32</v>
      </c>
      <c r="T521" s="20">
        <v>9463.09</v>
      </c>
      <c r="U521" s="20" t="s">
        <v>36</v>
      </c>
      <c r="V521" s="20" t="s">
        <v>409</v>
      </c>
      <c r="W521" s="20" t="s">
        <v>34</v>
      </c>
      <c r="X521" s="20" t="s">
        <v>410</v>
      </c>
      <c r="Y521" s="26">
        <v>238</v>
      </c>
      <c r="Z521" s="26">
        <v>27.813358535990101</v>
      </c>
      <c r="AA521" s="27" t="s">
        <v>34</v>
      </c>
      <c r="AB521" s="33">
        <v>1</v>
      </c>
      <c r="AC521" s="20">
        <v>1</v>
      </c>
      <c r="AD521" s="28">
        <v>5</v>
      </c>
    </row>
    <row r="522" spans="1:30" ht="14.55" customHeight="1" x14ac:dyDescent="0.4">
      <c r="A522" s="20">
        <v>0</v>
      </c>
      <c r="B522" s="20">
        <v>177</v>
      </c>
      <c r="C522" s="30">
        <v>59</v>
      </c>
      <c r="D522" s="20" t="s">
        <v>38</v>
      </c>
      <c r="E522" s="20">
        <v>1</v>
      </c>
      <c r="F522" s="20">
        <v>1</v>
      </c>
      <c r="G522" s="20">
        <v>0</v>
      </c>
      <c r="H522" s="20">
        <v>1</v>
      </c>
      <c r="I522" s="20">
        <v>0</v>
      </c>
      <c r="J522" s="20">
        <v>0</v>
      </c>
      <c r="K522" s="20">
        <v>1</v>
      </c>
      <c r="L522" s="20">
        <v>0</v>
      </c>
      <c r="M522" s="20">
        <v>0</v>
      </c>
      <c r="N522" s="31">
        <v>45015</v>
      </c>
      <c r="O522" s="31">
        <v>45022</v>
      </c>
      <c r="P522" s="24">
        <f t="shared" si="8"/>
        <v>8</v>
      </c>
      <c r="Q522" s="32" t="s">
        <v>31</v>
      </c>
      <c r="R522" s="32" t="s">
        <v>31</v>
      </c>
      <c r="S522" s="32" t="s">
        <v>32</v>
      </c>
      <c r="T522" s="20">
        <v>5743.43</v>
      </c>
      <c r="U522" s="20" t="s">
        <v>40</v>
      </c>
      <c r="V522" s="20" t="s">
        <v>411</v>
      </c>
      <c r="W522" s="20" t="s">
        <v>206</v>
      </c>
      <c r="X522" s="20" t="s">
        <v>206</v>
      </c>
      <c r="Y522" s="26">
        <v>313</v>
      </c>
      <c r="Z522" s="26">
        <v>26.919540000000001</v>
      </c>
      <c r="AA522" s="27">
        <v>1</v>
      </c>
      <c r="AB522" s="33">
        <v>1</v>
      </c>
      <c r="AC522" s="20">
        <v>1</v>
      </c>
      <c r="AD522" s="28">
        <v>6</v>
      </c>
    </row>
    <row r="523" spans="1:30" ht="14.55" customHeight="1" x14ac:dyDescent="0.4">
      <c r="A523" s="20">
        <v>0</v>
      </c>
      <c r="B523" s="20">
        <v>178</v>
      </c>
      <c r="C523" s="30">
        <v>62</v>
      </c>
      <c r="D523" s="20" t="s">
        <v>38</v>
      </c>
      <c r="E523" s="20">
        <v>0</v>
      </c>
      <c r="F523" s="20">
        <v>1</v>
      </c>
      <c r="G523" s="20">
        <v>0</v>
      </c>
      <c r="H523" s="20">
        <v>1</v>
      </c>
      <c r="I523" s="20">
        <v>0</v>
      </c>
      <c r="J523" s="20">
        <v>0</v>
      </c>
      <c r="K523" s="20">
        <v>0</v>
      </c>
      <c r="L523" s="20">
        <v>0</v>
      </c>
      <c r="M523" s="20">
        <v>0</v>
      </c>
      <c r="N523" s="31">
        <v>45014</v>
      </c>
      <c r="O523" s="31">
        <v>45029</v>
      </c>
      <c r="P523" s="24">
        <f t="shared" si="8"/>
        <v>16</v>
      </c>
      <c r="Q523" s="32" t="s">
        <v>31</v>
      </c>
      <c r="R523" s="32" t="s">
        <v>31</v>
      </c>
      <c r="S523" s="20" t="s">
        <v>32</v>
      </c>
      <c r="T523" s="20">
        <v>12777.39</v>
      </c>
      <c r="U523" s="20" t="s">
        <v>36</v>
      </c>
      <c r="V523" s="20" t="s">
        <v>412</v>
      </c>
      <c r="W523" s="20" t="s">
        <v>34</v>
      </c>
      <c r="X523" s="20" t="s">
        <v>34</v>
      </c>
      <c r="Y523" s="26">
        <v>1245</v>
      </c>
      <c r="Z523" s="26">
        <v>25.5215971870348</v>
      </c>
      <c r="AA523" s="27" t="s">
        <v>34</v>
      </c>
      <c r="AB523" s="33" t="s">
        <v>34</v>
      </c>
      <c r="AC523" s="20" t="s">
        <v>31</v>
      </c>
      <c r="AD523" s="28">
        <v>10</v>
      </c>
    </row>
  </sheetData>
  <autoFilter ref="A1:AD523" xr:uid="{00000000-0009-0000-0000-000000000000}"/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C9" sqref="C9"/>
    </sheetView>
  </sheetViews>
  <sheetFormatPr defaultColWidth="9" defaultRowHeight="13.9" x14ac:dyDescent="0.4"/>
  <cols>
    <col min="1" max="1" width="39.59765625" customWidth="1"/>
    <col min="2" max="2" width="32.86328125" style="2" customWidth="1"/>
    <col min="3" max="4" width="40.3984375" customWidth="1"/>
  </cols>
  <sheetData>
    <row r="1" spans="1:4" s="1" customFormat="1" ht="18" customHeight="1" x14ac:dyDescent="0.4">
      <c r="A1" s="3" t="s">
        <v>413</v>
      </c>
      <c r="B1" s="3" t="s">
        <v>414</v>
      </c>
      <c r="C1" s="3" t="s">
        <v>415</v>
      </c>
      <c r="D1" s="3" t="s">
        <v>416</v>
      </c>
    </row>
    <row r="2" spans="1:4" s="1" customFormat="1" ht="18" customHeight="1" x14ac:dyDescent="0.4">
      <c r="A2" s="3" t="s">
        <v>0</v>
      </c>
      <c r="B2" s="3" t="s">
        <v>417</v>
      </c>
      <c r="C2" s="4" t="s">
        <v>418</v>
      </c>
      <c r="D2" s="4" t="s">
        <v>419</v>
      </c>
    </row>
    <row r="3" spans="1:4" s="1" customFormat="1" ht="18" customHeight="1" x14ac:dyDescent="0.4">
      <c r="A3" s="3" t="s">
        <v>1</v>
      </c>
      <c r="B3" s="3" t="s">
        <v>420</v>
      </c>
      <c r="C3" s="3" t="s">
        <v>421</v>
      </c>
      <c r="D3" s="3" t="s">
        <v>422</v>
      </c>
    </row>
    <row r="4" spans="1:4" s="1" customFormat="1" ht="18" customHeight="1" x14ac:dyDescent="0.4">
      <c r="A4" s="3" t="s">
        <v>2</v>
      </c>
      <c r="B4" s="3" t="s">
        <v>423</v>
      </c>
      <c r="C4" s="3" t="s">
        <v>421</v>
      </c>
      <c r="D4" s="3" t="s">
        <v>424</v>
      </c>
    </row>
    <row r="5" spans="1:4" s="1" customFormat="1" ht="18" customHeight="1" x14ac:dyDescent="0.4">
      <c r="A5" s="3" t="s">
        <v>425</v>
      </c>
      <c r="B5" s="3" t="s">
        <v>426</v>
      </c>
      <c r="C5" s="4" t="s">
        <v>418</v>
      </c>
      <c r="D5" s="4" t="s">
        <v>427</v>
      </c>
    </row>
    <row r="6" spans="1:4" s="1" customFormat="1" ht="32" customHeight="1" x14ac:dyDescent="0.4">
      <c r="A6" s="3" t="s">
        <v>428</v>
      </c>
      <c r="B6" s="3" t="s">
        <v>429</v>
      </c>
      <c r="C6" s="3" t="s">
        <v>418</v>
      </c>
      <c r="D6" s="3" t="s">
        <v>430</v>
      </c>
    </row>
    <row r="7" spans="1:4" s="1" customFormat="1" ht="18" customHeight="1" x14ac:dyDescent="0.4">
      <c r="A7" s="3" t="s">
        <v>13</v>
      </c>
      <c r="B7" s="3" t="s">
        <v>431</v>
      </c>
      <c r="C7" s="3" t="s">
        <v>432</v>
      </c>
      <c r="D7" s="3" t="s">
        <v>433</v>
      </c>
    </row>
    <row r="8" spans="1:4" s="1" customFormat="1" ht="18" customHeight="1" x14ac:dyDescent="0.4">
      <c r="A8" s="3" t="s">
        <v>14</v>
      </c>
      <c r="B8" s="3" t="s">
        <v>434</v>
      </c>
      <c r="C8" s="3" t="s">
        <v>432</v>
      </c>
      <c r="D8" s="3" t="s">
        <v>433</v>
      </c>
    </row>
    <row r="9" spans="1:4" s="1" customFormat="1" ht="18" customHeight="1" x14ac:dyDescent="0.4">
      <c r="A9" s="3" t="s">
        <v>16</v>
      </c>
      <c r="B9" s="3" t="s">
        <v>435</v>
      </c>
      <c r="C9" s="3" t="s">
        <v>432</v>
      </c>
      <c r="D9" s="3" t="s">
        <v>433</v>
      </c>
    </row>
    <row r="10" spans="1:4" s="1" customFormat="1" ht="18" customHeight="1" x14ac:dyDescent="0.4">
      <c r="A10" s="3" t="s">
        <v>17</v>
      </c>
      <c r="B10" s="3" t="s">
        <v>436</v>
      </c>
      <c r="C10" s="3" t="s">
        <v>432</v>
      </c>
      <c r="D10" s="3" t="s">
        <v>433</v>
      </c>
    </row>
    <row r="11" spans="1:4" s="1" customFormat="1" ht="27.75" x14ac:dyDescent="0.4">
      <c r="A11" s="3" t="s">
        <v>21</v>
      </c>
      <c r="B11" s="3" t="s">
        <v>437</v>
      </c>
      <c r="C11" s="3" t="s">
        <v>432</v>
      </c>
      <c r="D11" s="3" t="s">
        <v>438</v>
      </c>
    </row>
    <row r="12" spans="1:4" s="1" customFormat="1" x14ac:dyDescent="0.4">
      <c r="A12" s="3" t="s">
        <v>15</v>
      </c>
      <c r="B12" s="3" t="s">
        <v>439</v>
      </c>
      <c r="C12" s="3" t="s">
        <v>421</v>
      </c>
      <c r="D12" s="3" t="s">
        <v>440</v>
      </c>
    </row>
    <row r="13" spans="1:4" s="1" customFormat="1" ht="27.75" x14ac:dyDescent="0.4">
      <c r="A13" s="3" t="s">
        <v>19</v>
      </c>
      <c r="B13" s="3" t="s">
        <v>441</v>
      </c>
      <c r="C13" s="3" t="s">
        <v>421</v>
      </c>
      <c r="D13" s="3" t="s">
        <v>442</v>
      </c>
    </row>
    <row r="14" spans="1:4" s="1" customFormat="1" x14ac:dyDescent="0.4">
      <c r="A14" s="3" t="s">
        <v>24</v>
      </c>
      <c r="B14" s="3" t="s">
        <v>443</v>
      </c>
      <c r="C14" s="3" t="s">
        <v>421</v>
      </c>
      <c r="D14" s="3" t="s">
        <v>444</v>
      </c>
    </row>
    <row r="15" spans="1:4" s="1" customFormat="1" ht="18" customHeight="1" x14ac:dyDescent="0.4">
      <c r="A15" s="3" t="s">
        <v>445</v>
      </c>
      <c r="B15" s="3" t="s">
        <v>446</v>
      </c>
      <c r="C15" s="3" t="s">
        <v>421</v>
      </c>
      <c r="D15" s="3" t="s">
        <v>444</v>
      </c>
    </row>
    <row r="16" spans="1:4" s="1" customFormat="1" ht="50.25" customHeight="1" x14ac:dyDescent="0.4">
      <c r="A16" s="3" t="s">
        <v>26</v>
      </c>
      <c r="B16" s="3" t="s">
        <v>447</v>
      </c>
      <c r="C16" s="3" t="s">
        <v>453</v>
      </c>
      <c r="D16" s="3" t="s">
        <v>448</v>
      </c>
    </row>
    <row r="17" spans="1:4" s="1" customFormat="1" ht="62.65" customHeight="1" x14ac:dyDescent="0.4">
      <c r="A17" s="3" t="s">
        <v>27</v>
      </c>
      <c r="B17" s="3" t="s">
        <v>449</v>
      </c>
      <c r="C17" s="3" t="s">
        <v>418</v>
      </c>
      <c r="D17" s="3" t="s">
        <v>450</v>
      </c>
    </row>
    <row r="18" spans="1:4" s="1" customFormat="1" ht="18" customHeight="1" x14ac:dyDescent="0.4">
      <c r="A18" s="3" t="s">
        <v>28</v>
      </c>
      <c r="B18" s="3" t="s">
        <v>451</v>
      </c>
      <c r="C18" s="4" t="s">
        <v>418</v>
      </c>
      <c r="D18" s="4" t="s">
        <v>452</v>
      </c>
    </row>
    <row r="19" spans="1:4" x14ac:dyDescent="0.4">
      <c r="B19" s="3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1182-F772-48CF-B56D-9DD8F7021CEB}">
  <dimension ref="A1:E72"/>
  <sheetViews>
    <sheetView workbookViewId="0">
      <selection activeCell="D9" sqref="D9"/>
    </sheetView>
  </sheetViews>
  <sheetFormatPr defaultRowHeight="13.9" x14ac:dyDescent="0.4"/>
  <cols>
    <col min="1" max="1" width="10.19921875" bestFit="1" customWidth="1"/>
    <col min="2" max="2" width="28.86328125" bestFit="1" customWidth="1"/>
    <col min="3" max="3" width="17.796875" bestFit="1" customWidth="1"/>
    <col min="4" max="5" width="17.265625" bestFit="1" customWidth="1"/>
  </cols>
  <sheetData>
    <row r="1" spans="1:5" x14ac:dyDescent="0.4">
      <c r="A1" s="36" t="s">
        <v>454</v>
      </c>
      <c r="B1" s="37" t="s">
        <v>455</v>
      </c>
      <c r="C1" s="38" t="s">
        <v>456</v>
      </c>
      <c r="D1" s="38" t="s">
        <v>457</v>
      </c>
      <c r="E1" s="38" t="s">
        <v>458</v>
      </c>
    </row>
    <row r="2" spans="1:5" x14ac:dyDescent="0.4">
      <c r="A2" s="39" t="s">
        <v>459</v>
      </c>
      <c r="B2" s="40" t="s">
        <v>460</v>
      </c>
      <c r="C2" s="38">
        <v>1</v>
      </c>
      <c r="D2" s="38">
        <v>2</v>
      </c>
      <c r="E2" s="38">
        <v>1</v>
      </c>
    </row>
    <row r="3" spans="1:5" x14ac:dyDescent="0.4">
      <c r="A3" s="39" t="s">
        <v>459</v>
      </c>
      <c r="B3" s="40" t="s">
        <v>461</v>
      </c>
      <c r="C3" s="38">
        <v>7</v>
      </c>
      <c r="D3" s="38">
        <v>0</v>
      </c>
      <c r="E3" s="38">
        <v>1</v>
      </c>
    </row>
    <row r="4" spans="1:5" x14ac:dyDescent="0.4">
      <c r="A4" s="39" t="s">
        <v>459</v>
      </c>
      <c r="B4" s="40" t="s">
        <v>71</v>
      </c>
      <c r="C4" s="38">
        <v>0</v>
      </c>
      <c r="D4" s="38">
        <v>19</v>
      </c>
      <c r="E4" s="38">
        <v>0</v>
      </c>
    </row>
    <row r="5" spans="1:5" x14ac:dyDescent="0.4">
      <c r="A5" s="39" t="s">
        <v>459</v>
      </c>
      <c r="B5" s="40" t="s">
        <v>462</v>
      </c>
      <c r="C5" s="38">
        <v>3</v>
      </c>
      <c r="D5" s="38">
        <v>3</v>
      </c>
      <c r="E5" s="38">
        <v>2</v>
      </c>
    </row>
    <row r="6" spans="1:5" x14ac:dyDescent="0.4">
      <c r="A6" s="39" t="s">
        <v>459</v>
      </c>
      <c r="B6" s="40" t="s">
        <v>463</v>
      </c>
      <c r="C6" s="38">
        <v>1</v>
      </c>
      <c r="D6" s="38">
        <v>11</v>
      </c>
      <c r="E6" s="38">
        <v>0</v>
      </c>
    </row>
    <row r="7" spans="1:5" x14ac:dyDescent="0.4">
      <c r="A7" s="39" t="s">
        <v>459</v>
      </c>
      <c r="B7" s="40" t="s">
        <v>464</v>
      </c>
      <c r="C7" s="38">
        <v>0</v>
      </c>
      <c r="D7" s="38">
        <v>10</v>
      </c>
      <c r="E7" s="38">
        <v>1</v>
      </c>
    </row>
    <row r="8" spans="1:5" x14ac:dyDescent="0.4">
      <c r="A8" s="39" t="s">
        <v>459</v>
      </c>
      <c r="B8" s="40" t="s">
        <v>465</v>
      </c>
      <c r="C8" s="38">
        <v>0</v>
      </c>
      <c r="D8" s="38">
        <v>12</v>
      </c>
      <c r="E8" s="38">
        <v>0</v>
      </c>
    </row>
    <row r="9" spans="1:5" x14ac:dyDescent="0.4">
      <c r="A9" s="39" t="s">
        <v>459</v>
      </c>
      <c r="B9" s="40" t="s">
        <v>466</v>
      </c>
      <c r="C9" s="38">
        <v>0</v>
      </c>
      <c r="D9" s="38">
        <v>12</v>
      </c>
      <c r="E9" s="38">
        <v>0</v>
      </c>
    </row>
    <row r="10" spans="1:5" x14ac:dyDescent="0.4">
      <c r="A10" s="39" t="s">
        <v>459</v>
      </c>
      <c r="B10" s="40" t="s">
        <v>467</v>
      </c>
      <c r="C10" s="38">
        <v>2</v>
      </c>
      <c r="D10" s="38">
        <v>6</v>
      </c>
      <c r="E10" s="38">
        <v>0</v>
      </c>
    </row>
    <row r="11" spans="1:5" x14ac:dyDescent="0.4">
      <c r="A11" s="39" t="s">
        <v>459</v>
      </c>
      <c r="B11" s="40" t="s">
        <v>468</v>
      </c>
      <c r="C11" s="38">
        <v>0</v>
      </c>
      <c r="D11" s="38">
        <v>5</v>
      </c>
      <c r="E11" s="38">
        <v>1</v>
      </c>
    </row>
    <row r="12" spans="1:5" x14ac:dyDescent="0.4">
      <c r="A12" s="39" t="s">
        <v>459</v>
      </c>
      <c r="B12" s="40" t="s">
        <v>469</v>
      </c>
      <c r="C12" s="38">
        <v>2</v>
      </c>
      <c r="D12" s="38">
        <v>3</v>
      </c>
      <c r="E12" s="38">
        <v>3</v>
      </c>
    </row>
    <row r="13" spans="1:5" x14ac:dyDescent="0.4">
      <c r="A13" s="39" t="s">
        <v>459</v>
      </c>
      <c r="B13" s="41" t="s">
        <v>470</v>
      </c>
      <c r="C13" s="38">
        <v>0</v>
      </c>
      <c r="D13" s="38">
        <v>8</v>
      </c>
      <c r="E13" s="38">
        <v>0</v>
      </c>
    </row>
    <row r="14" spans="1:5" x14ac:dyDescent="0.4">
      <c r="A14" s="39" t="s">
        <v>459</v>
      </c>
      <c r="B14" s="40" t="s">
        <v>471</v>
      </c>
      <c r="C14" s="38">
        <v>1</v>
      </c>
      <c r="D14" s="38">
        <v>1</v>
      </c>
      <c r="E14" s="38">
        <v>1</v>
      </c>
    </row>
    <row r="15" spans="1:5" x14ac:dyDescent="0.4">
      <c r="A15" s="39" t="s">
        <v>459</v>
      </c>
      <c r="B15" s="40" t="s">
        <v>472</v>
      </c>
      <c r="C15" s="38">
        <v>0</v>
      </c>
      <c r="D15" s="38">
        <v>0</v>
      </c>
      <c r="E15" s="38">
        <v>1</v>
      </c>
    </row>
    <row r="16" spans="1:5" x14ac:dyDescent="0.4">
      <c r="A16" s="39" t="s">
        <v>459</v>
      </c>
      <c r="B16" s="40" t="s">
        <v>473</v>
      </c>
      <c r="C16" s="38">
        <v>0</v>
      </c>
      <c r="D16" s="38">
        <v>8</v>
      </c>
      <c r="E16" s="38">
        <v>0</v>
      </c>
    </row>
    <row r="17" spans="1:5" x14ac:dyDescent="0.4">
      <c r="A17" s="39" t="s">
        <v>459</v>
      </c>
      <c r="B17" s="40" t="s">
        <v>474</v>
      </c>
      <c r="C17" s="38">
        <v>0</v>
      </c>
      <c r="D17" s="38">
        <v>8</v>
      </c>
      <c r="E17" s="38">
        <v>0</v>
      </c>
    </row>
    <row r="18" spans="1:5" x14ac:dyDescent="0.4">
      <c r="A18" s="39" t="s">
        <v>459</v>
      </c>
      <c r="B18" s="40" t="s">
        <v>475</v>
      </c>
      <c r="C18" s="38">
        <v>0</v>
      </c>
      <c r="D18" s="38">
        <v>7</v>
      </c>
      <c r="E18" s="38">
        <v>0</v>
      </c>
    </row>
    <row r="19" spans="1:5" x14ac:dyDescent="0.4">
      <c r="A19" s="39" t="s">
        <v>459</v>
      </c>
      <c r="B19" s="40" t="s">
        <v>476</v>
      </c>
      <c r="C19" s="38">
        <v>0</v>
      </c>
      <c r="D19" s="38">
        <v>7</v>
      </c>
      <c r="E19" s="38">
        <v>0</v>
      </c>
    </row>
    <row r="20" spans="1:5" x14ac:dyDescent="0.4">
      <c r="A20" s="39" t="s">
        <v>459</v>
      </c>
      <c r="B20" s="40" t="s">
        <v>477</v>
      </c>
      <c r="C20" s="38">
        <v>0</v>
      </c>
      <c r="D20" s="38">
        <v>7</v>
      </c>
      <c r="E20" s="38">
        <v>0</v>
      </c>
    </row>
    <row r="21" spans="1:5" x14ac:dyDescent="0.4">
      <c r="A21" s="39" t="s">
        <v>459</v>
      </c>
      <c r="B21" s="40" t="s">
        <v>478</v>
      </c>
      <c r="C21" s="38">
        <v>0</v>
      </c>
      <c r="D21" s="38">
        <v>6</v>
      </c>
      <c r="E21" s="38">
        <v>0</v>
      </c>
    </row>
    <row r="22" spans="1:5" x14ac:dyDescent="0.4">
      <c r="A22" s="39" t="s">
        <v>459</v>
      </c>
      <c r="B22" s="41" t="s">
        <v>479</v>
      </c>
      <c r="C22" s="38">
        <v>0</v>
      </c>
      <c r="D22" s="38">
        <v>5</v>
      </c>
      <c r="E22" s="38">
        <v>0</v>
      </c>
    </row>
    <row r="23" spans="1:5" x14ac:dyDescent="0.4">
      <c r="A23" s="39" t="s">
        <v>459</v>
      </c>
      <c r="B23" s="41" t="s">
        <v>480</v>
      </c>
      <c r="C23" s="38">
        <v>0</v>
      </c>
      <c r="D23" s="38">
        <v>5</v>
      </c>
      <c r="E23" s="38">
        <v>0</v>
      </c>
    </row>
    <row r="24" spans="1:5" x14ac:dyDescent="0.4">
      <c r="A24" s="39" t="s">
        <v>459</v>
      </c>
      <c r="B24" s="42" t="s">
        <v>481</v>
      </c>
      <c r="C24" s="38">
        <v>0</v>
      </c>
      <c r="D24" s="38">
        <v>5</v>
      </c>
      <c r="E24" s="38">
        <v>0</v>
      </c>
    </row>
    <row r="25" spans="1:5" x14ac:dyDescent="0.4">
      <c r="A25" s="43" t="s">
        <v>482</v>
      </c>
      <c r="B25" s="44" t="s">
        <v>483</v>
      </c>
      <c r="C25" s="38">
        <v>2</v>
      </c>
      <c r="D25" s="38">
        <v>0</v>
      </c>
      <c r="E25" s="38">
        <v>0</v>
      </c>
    </row>
    <row r="26" spans="1:5" x14ac:dyDescent="0.4">
      <c r="A26" s="43" t="s">
        <v>482</v>
      </c>
      <c r="B26" s="44" t="s">
        <v>484</v>
      </c>
      <c r="C26" s="38">
        <v>1</v>
      </c>
      <c r="D26" s="38">
        <v>2</v>
      </c>
      <c r="E26" s="38">
        <v>0</v>
      </c>
    </row>
    <row r="27" spans="1:5" x14ac:dyDescent="0.4">
      <c r="A27" s="43" t="s">
        <v>482</v>
      </c>
      <c r="B27" s="44" t="s">
        <v>485</v>
      </c>
      <c r="C27" s="38">
        <v>1</v>
      </c>
      <c r="D27" s="38">
        <v>0</v>
      </c>
      <c r="E27" s="38">
        <v>0</v>
      </c>
    </row>
    <row r="28" spans="1:5" x14ac:dyDescent="0.4">
      <c r="A28" s="43" t="s">
        <v>482</v>
      </c>
      <c r="B28" s="45" t="s">
        <v>486</v>
      </c>
      <c r="C28" s="38">
        <v>0</v>
      </c>
      <c r="D28" s="46">
        <v>4</v>
      </c>
      <c r="E28" s="38">
        <v>0</v>
      </c>
    </row>
    <row r="29" spans="1:5" x14ac:dyDescent="0.4">
      <c r="A29" s="43" t="s">
        <v>482</v>
      </c>
      <c r="B29" s="44" t="s">
        <v>487</v>
      </c>
      <c r="C29" s="38">
        <v>0</v>
      </c>
      <c r="D29" s="47">
        <v>4</v>
      </c>
      <c r="E29" s="38">
        <v>0</v>
      </c>
    </row>
    <row r="30" spans="1:5" x14ac:dyDescent="0.4">
      <c r="A30" s="43" t="s">
        <v>482</v>
      </c>
      <c r="B30" s="44" t="s">
        <v>488</v>
      </c>
      <c r="C30" s="38">
        <v>0</v>
      </c>
      <c r="D30" s="46">
        <v>4</v>
      </c>
      <c r="E30" s="38">
        <v>0</v>
      </c>
    </row>
    <row r="31" spans="1:5" x14ac:dyDescent="0.4">
      <c r="A31" s="43" t="s">
        <v>482</v>
      </c>
      <c r="B31" s="44" t="s">
        <v>489</v>
      </c>
      <c r="C31" s="38">
        <v>0</v>
      </c>
      <c r="D31" s="46">
        <v>0</v>
      </c>
      <c r="E31" s="38">
        <v>0</v>
      </c>
    </row>
    <row r="32" spans="1:5" x14ac:dyDescent="0.4">
      <c r="A32" s="43" t="s">
        <v>482</v>
      </c>
      <c r="B32" s="44" t="s">
        <v>490</v>
      </c>
      <c r="C32" s="38">
        <v>0</v>
      </c>
      <c r="D32" s="46">
        <v>0</v>
      </c>
      <c r="E32" s="38">
        <v>0</v>
      </c>
    </row>
    <row r="33" spans="1:5" x14ac:dyDescent="0.4">
      <c r="A33" s="43" t="s">
        <v>482</v>
      </c>
      <c r="B33" s="44" t="s">
        <v>491</v>
      </c>
      <c r="C33" s="38">
        <v>0</v>
      </c>
      <c r="D33" s="47">
        <v>3</v>
      </c>
      <c r="E33" s="38">
        <v>0</v>
      </c>
    </row>
    <row r="34" spans="1:5" x14ac:dyDescent="0.4">
      <c r="A34" s="43" t="s">
        <v>482</v>
      </c>
      <c r="B34" s="44" t="s">
        <v>492</v>
      </c>
      <c r="C34" s="38">
        <v>0</v>
      </c>
      <c r="D34" s="47">
        <v>3</v>
      </c>
      <c r="E34" s="38">
        <v>0</v>
      </c>
    </row>
    <row r="35" spans="1:5" x14ac:dyDescent="0.4">
      <c r="A35" s="43" t="s">
        <v>482</v>
      </c>
      <c r="B35" s="44" t="s">
        <v>493</v>
      </c>
      <c r="C35" s="38">
        <v>0</v>
      </c>
      <c r="D35" s="46">
        <v>3</v>
      </c>
      <c r="E35" s="38">
        <v>0</v>
      </c>
    </row>
    <row r="36" spans="1:5" x14ac:dyDescent="0.4">
      <c r="A36" s="43" t="s">
        <v>482</v>
      </c>
      <c r="B36" s="44" t="s">
        <v>494</v>
      </c>
      <c r="C36" s="38">
        <v>0</v>
      </c>
      <c r="D36" s="47">
        <v>2</v>
      </c>
      <c r="E36" s="38">
        <v>0</v>
      </c>
    </row>
    <row r="37" spans="1:5" x14ac:dyDescent="0.4">
      <c r="A37" s="43" t="s">
        <v>482</v>
      </c>
      <c r="B37" s="44" t="s">
        <v>495</v>
      </c>
      <c r="C37" s="38">
        <v>0</v>
      </c>
      <c r="D37" s="38">
        <v>0</v>
      </c>
      <c r="E37" s="38">
        <v>1</v>
      </c>
    </row>
    <row r="38" spans="1:5" x14ac:dyDescent="0.4">
      <c r="A38" s="43" t="s">
        <v>482</v>
      </c>
      <c r="B38" s="44" t="s">
        <v>496</v>
      </c>
      <c r="C38" s="38">
        <v>0</v>
      </c>
      <c r="D38" s="47">
        <v>2</v>
      </c>
      <c r="E38" s="38">
        <v>0</v>
      </c>
    </row>
    <row r="39" spans="1:5" x14ac:dyDescent="0.4">
      <c r="A39" s="43" t="s">
        <v>482</v>
      </c>
      <c r="B39" s="44" t="s">
        <v>497</v>
      </c>
      <c r="C39" s="38">
        <v>0</v>
      </c>
      <c r="D39" s="47">
        <v>2</v>
      </c>
      <c r="E39" s="38">
        <v>0</v>
      </c>
    </row>
    <row r="40" spans="1:5" x14ac:dyDescent="0.4">
      <c r="A40" s="43" t="s">
        <v>482</v>
      </c>
      <c r="B40" s="44" t="s">
        <v>498</v>
      </c>
      <c r="C40" s="38">
        <v>0</v>
      </c>
      <c r="D40" s="46">
        <v>2</v>
      </c>
      <c r="E40" s="38">
        <v>0</v>
      </c>
    </row>
    <row r="41" spans="1:5" x14ac:dyDescent="0.4">
      <c r="A41" s="43" t="s">
        <v>482</v>
      </c>
      <c r="B41" s="44" t="s">
        <v>499</v>
      </c>
      <c r="C41" s="38">
        <v>0</v>
      </c>
      <c r="D41" s="46">
        <v>2</v>
      </c>
      <c r="E41" s="38">
        <v>0</v>
      </c>
    </row>
    <row r="42" spans="1:5" x14ac:dyDescent="0.4">
      <c r="A42" s="43" t="s">
        <v>482</v>
      </c>
      <c r="B42" s="44" t="s">
        <v>500</v>
      </c>
      <c r="C42" s="38">
        <v>0</v>
      </c>
      <c r="D42" s="46">
        <v>2</v>
      </c>
      <c r="E42" s="38">
        <v>0</v>
      </c>
    </row>
    <row r="43" spans="1:5" x14ac:dyDescent="0.4">
      <c r="A43" s="43" t="s">
        <v>482</v>
      </c>
      <c r="B43" s="44" t="s">
        <v>501</v>
      </c>
      <c r="C43" s="38">
        <v>0</v>
      </c>
      <c r="D43" s="46">
        <v>2</v>
      </c>
      <c r="E43" s="38">
        <v>0</v>
      </c>
    </row>
    <row r="44" spans="1:5" x14ac:dyDescent="0.4">
      <c r="A44" s="43" t="s">
        <v>482</v>
      </c>
      <c r="B44" s="44" t="s">
        <v>502</v>
      </c>
      <c r="C44" s="38">
        <v>0</v>
      </c>
      <c r="D44" s="47">
        <v>1</v>
      </c>
      <c r="E44" s="38">
        <v>0</v>
      </c>
    </row>
    <row r="45" spans="1:5" x14ac:dyDescent="0.4">
      <c r="A45" s="43" t="s">
        <v>482</v>
      </c>
      <c r="B45" s="44" t="s">
        <v>503</v>
      </c>
      <c r="C45" s="38">
        <v>0</v>
      </c>
      <c r="D45" s="46">
        <v>0</v>
      </c>
      <c r="E45" s="38">
        <v>0</v>
      </c>
    </row>
    <row r="46" spans="1:5" x14ac:dyDescent="0.4">
      <c r="A46" s="48" t="s">
        <v>504</v>
      </c>
      <c r="B46" s="49" t="s">
        <v>505</v>
      </c>
      <c r="C46" s="38">
        <v>0</v>
      </c>
      <c r="D46" s="50">
        <v>1</v>
      </c>
      <c r="E46" s="38">
        <v>0</v>
      </c>
    </row>
    <row r="47" spans="1:5" x14ac:dyDescent="0.4">
      <c r="A47" s="48" t="s">
        <v>504</v>
      </c>
      <c r="B47" s="49" t="s">
        <v>506</v>
      </c>
      <c r="C47" s="38">
        <v>0</v>
      </c>
      <c r="D47" s="46">
        <v>0</v>
      </c>
      <c r="E47" s="38">
        <v>0</v>
      </c>
    </row>
    <row r="48" spans="1:5" x14ac:dyDescent="0.4">
      <c r="A48" s="48" t="s">
        <v>504</v>
      </c>
      <c r="B48" s="49" t="s">
        <v>507</v>
      </c>
      <c r="C48" s="38">
        <v>0</v>
      </c>
      <c r="D48" s="38">
        <v>0</v>
      </c>
      <c r="E48" s="38">
        <v>1</v>
      </c>
    </row>
    <row r="49" spans="1:5" x14ac:dyDescent="0.4">
      <c r="A49" s="48" t="s">
        <v>504</v>
      </c>
      <c r="B49" s="51" t="s">
        <v>508</v>
      </c>
      <c r="C49" s="38">
        <v>0</v>
      </c>
      <c r="D49" s="46">
        <v>1</v>
      </c>
      <c r="E49" s="38">
        <v>0</v>
      </c>
    </row>
    <row r="50" spans="1:5" x14ac:dyDescent="0.4">
      <c r="A50" s="48" t="s">
        <v>504</v>
      </c>
      <c r="B50" s="51" t="s">
        <v>509</v>
      </c>
      <c r="C50" s="38">
        <v>0</v>
      </c>
      <c r="D50" s="46">
        <v>1</v>
      </c>
      <c r="E50" s="38">
        <v>0</v>
      </c>
    </row>
    <row r="51" spans="1:5" x14ac:dyDescent="0.4">
      <c r="A51" s="48" t="s">
        <v>504</v>
      </c>
      <c r="B51" s="51" t="s">
        <v>510</v>
      </c>
      <c r="C51" s="38">
        <v>0</v>
      </c>
      <c r="D51" s="46">
        <v>1</v>
      </c>
      <c r="E51" s="38">
        <v>0</v>
      </c>
    </row>
    <row r="52" spans="1:5" x14ac:dyDescent="0.4">
      <c r="A52" s="48" t="s">
        <v>504</v>
      </c>
      <c r="B52" s="49" t="s">
        <v>511</v>
      </c>
      <c r="C52" s="38">
        <v>0</v>
      </c>
      <c r="D52" s="46">
        <v>1</v>
      </c>
      <c r="E52" s="38">
        <v>0</v>
      </c>
    </row>
    <row r="53" spans="1:5" x14ac:dyDescent="0.4">
      <c r="A53" s="48" t="s">
        <v>504</v>
      </c>
      <c r="B53" s="49" t="s">
        <v>512</v>
      </c>
      <c r="C53" s="38">
        <v>0</v>
      </c>
      <c r="D53" s="46">
        <v>1</v>
      </c>
      <c r="E53" s="38">
        <v>0</v>
      </c>
    </row>
    <row r="54" spans="1:5" x14ac:dyDescent="0.4">
      <c r="A54" s="48" t="s">
        <v>504</v>
      </c>
      <c r="B54" s="51" t="s">
        <v>513</v>
      </c>
      <c r="C54" s="38">
        <v>0</v>
      </c>
      <c r="D54" s="47">
        <v>1</v>
      </c>
      <c r="E54" s="38">
        <v>0</v>
      </c>
    </row>
    <row r="55" spans="1:5" x14ac:dyDescent="0.4">
      <c r="A55" s="48" t="s">
        <v>504</v>
      </c>
      <c r="B55" s="51" t="s">
        <v>514</v>
      </c>
      <c r="C55" s="38">
        <v>0</v>
      </c>
      <c r="D55" s="47">
        <v>1</v>
      </c>
      <c r="E55" s="38">
        <v>0</v>
      </c>
    </row>
    <row r="56" spans="1:5" x14ac:dyDescent="0.4">
      <c r="A56" s="48" t="s">
        <v>504</v>
      </c>
      <c r="B56" s="51" t="s">
        <v>515</v>
      </c>
      <c r="C56" s="38">
        <v>0</v>
      </c>
      <c r="D56" s="47">
        <v>1</v>
      </c>
      <c r="E56" s="38">
        <v>0</v>
      </c>
    </row>
    <row r="57" spans="1:5" x14ac:dyDescent="0.4">
      <c r="A57" s="48" t="s">
        <v>504</v>
      </c>
      <c r="B57" s="51" t="s">
        <v>516</v>
      </c>
      <c r="C57" s="38">
        <v>0</v>
      </c>
      <c r="D57" s="47">
        <v>1</v>
      </c>
      <c r="E57" s="38">
        <v>0</v>
      </c>
    </row>
    <row r="58" spans="1:5" x14ac:dyDescent="0.4">
      <c r="A58" s="48" t="s">
        <v>504</v>
      </c>
      <c r="B58" s="51" t="s">
        <v>517</v>
      </c>
      <c r="C58" s="38">
        <v>0</v>
      </c>
      <c r="D58" s="47">
        <v>1</v>
      </c>
      <c r="E58" s="38">
        <v>0</v>
      </c>
    </row>
    <row r="59" spans="1:5" x14ac:dyDescent="0.4">
      <c r="A59" s="48" t="s">
        <v>504</v>
      </c>
      <c r="B59" s="51" t="s">
        <v>518</v>
      </c>
      <c r="C59" s="38">
        <v>0</v>
      </c>
      <c r="D59" s="47">
        <v>1</v>
      </c>
      <c r="E59" s="38">
        <v>0</v>
      </c>
    </row>
    <row r="60" spans="1:5" x14ac:dyDescent="0.4">
      <c r="A60" s="48" t="s">
        <v>504</v>
      </c>
      <c r="B60" s="51" t="s">
        <v>519</v>
      </c>
      <c r="C60" s="38">
        <v>0</v>
      </c>
      <c r="D60" s="46">
        <v>1</v>
      </c>
      <c r="E60" s="38">
        <v>0</v>
      </c>
    </row>
    <row r="61" spans="1:5" x14ac:dyDescent="0.4">
      <c r="A61" s="48" t="s">
        <v>504</v>
      </c>
      <c r="B61" s="51" t="s">
        <v>520</v>
      </c>
      <c r="C61" s="38">
        <v>0</v>
      </c>
      <c r="D61" s="46">
        <v>1</v>
      </c>
      <c r="E61" s="38">
        <v>0</v>
      </c>
    </row>
    <row r="62" spans="1:5" x14ac:dyDescent="0.4">
      <c r="A62" s="48" t="s">
        <v>504</v>
      </c>
      <c r="B62" s="51" t="s">
        <v>521</v>
      </c>
      <c r="C62" s="38">
        <v>0</v>
      </c>
      <c r="D62" s="46">
        <v>1</v>
      </c>
      <c r="E62" s="38">
        <v>0</v>
      </c>
    </row>
    <row r="63" spans="1:5" x14ac:dyDescent="0.4">
      <c r="A63" s="48" t="s">
        <v>504</v>
      </c>
      <c r="B63" s="51" t="s">
        <v>522</v>
      </c>
      <c r="C63" s="38">
        <v>0</v>
      </c>
      <c r="D63" s="46">
        <v>1</v>
      </c>
      <c r="E63" s="38">
        <v>0</v>
      </c>
    </row>
    <row r="64" spans="1:5" x14ac:dyDescent="0.4">
      <c r="A64" s="48" t="s">
        <v>504</v>
      </c>
      <c r="B64" s="51" t="s">
        <v>523</v>
      </c>
      <c r="C64" s="38">
        <v>0</v>
      </c>
      <c r="D64" s="46">
        <v>1</v>
      </c>
      <c r="E64" s="38">
        <v>0</v>
      </c>
    </row>
    <row r="65" spans="1:5" x14ac:dyDescent="0.4">
      <c r="A65" s="48" t="s">
        <v>504</v>
      </c>
      <c r="B65" s="51" t="s">
        <v>524</v>
      </c>
      <c r="C65" s="38">
        <v>0</v>
      </c>
      <c r="D65" s="46">
        <v>1</v>
      </c>
      <c r="E65" s="38">
        <v>0</v>
      </c>
    </row>
    <row r="66" spans="1:5" x14ac:dyDescent="0.4">
      <c r="A66" s="48" t="s">
        <v>504</v>
      </c>
      <c r="B66" s="51" t="s">
        <v>525</v>
      </c>
      <c r="C66" s="38">
        <v>0</v>
      </c>
      <c r="D66" s="46">
        <v>1</v>
      </c>
      <c r="E66" s="38">
        <v>0</v>
      </c>
    </row>
    <row r="67" spans="1:5" x14ac:dyDescent="0.4">
      <c r="A67" s="48" t="s">
        <v>504</v>
      </c>
      <c r="B67" s="51" t="s">
        <v>526</v>
      </c>
      <c r="C67" s="38">
        <v>0</v>
      </c>
      <c r="D67" s="46">
        <v>1</v>
      </c>
      <c r="E67" s="38">
        <v>0</v>
      </c>
    </row>
    <row r="68" spans="1:5" x14ac:dyDescent="0.4">
      <c r="A68" s="48" t="s">
        <v>504</v>
      </c>
      <c r="B68" s="51" t="s">
        <v>527</v>
      </c>
      <c r="C68" s="38">
        <v>0</v>
      </c>
      <c r="D68" s="46">
        <v>0</v>
      </c>
      <c r="E68" s="38">
        <v>0</v>
      </c>
    </row>
    <row r="69" spans="1:5" x14ac:dyDescent="0.4">
      <c r="A69" s="48" t="s">
        <v>504</v>
      </c>
      <c r="B69" s="51" t="s">
        <v>528</v>
      </c>
      <c r="C69" s="38">
        <v>0</v>
      </c>
      <c r="D69" s="46">
        <v>0</v>
      </c>
      <c r="E69" s="38">
        <v>0</v>
      </c>
    </row>
    <row r="70" spans="1:5" x14ac:dyDescent="0.4">
      <c r="A70" s="48" t="s">
        <v>504</v>
      </c>
      <c r="B70" s="51" t="s">
        <v>529</v>
      </c>
      <c r="C70" s="38">
        <v>0</v>
      </c>
      <c r="D70" s="46">
        <v>0</v>
      </c>
      <c r="E70" s="38">
        <v>0</v>
      </c>
    </row>
    <row r="71" spans="1:5" x14ac:dyDescent="0.4">
      <c r="A71" s="48" t="s">
        <v>504</v>
      </c>
      <c r="B71" s="51" t="s">
        <v>530</v>
      </c>
      <c r="C71" s="38">
        <v>0</v>
      </c>
      <c r="D71" s="46">
        <v>0</v>
      </c>
      <c r="E71" s="38">
        <v>0</v>
      </c>
    </row>
    <row r="72" spans="1:5" x14ac:dyDescent="0.4">
      <c r="A72" s="48" t="s">
        <v>504</v>
      </c>
      <c r="B72" s="49" t="s">
        <v>531</v>
      </c>
      <c r="C72" s="38">
        <v>0</v>
      </c>
      <c r="D72" s="46">
        <v>0</v>
      </c>
      <c r="E72" s="38">
        <v>0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Kaijie Liu</dc:creator>
  <cp:lastModifiedBy>Kaijie Liu</cp:lastModifiedBy>
  <dcterms:created xsi:type="dcterms:W3CDTF">2015-06-05T18:19:00Z</dcterms:created>
  <dcterms:modified xsi:type="dcterms:W3CDTF">2026-05-14T11:37:29Z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280CD7D3BF514E8DB1C13E443FCBA7E5_12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